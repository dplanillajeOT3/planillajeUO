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 RESPALDOS PLANILLAJE MO\ESCRITORIO\AÑO_2025\AÑO 2026\"/>
    </mc:Choice>
  </mc:AlternateContent>
  <xr:revisionPtr revIDLastSave="0" documentId="13_ncr:1_{DF1446F2-1BC4-4AD9-8397-403C68098D40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MAESTRO" sheetId="1" state="hidden" r:id="rId1"/>
    <sheet name="INSTRUCTIVO5" sheetId="2" r:id="rId2"/>
    <sheet name="MES_2026" sheetId="3" r:id="rId3"/>
  </sheets>
  <definedNames>
    <definedName name="_xlnm._FilterDatabase" localSheetId="2" hidden="1">MES_2026!$A$1:$W$411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1uFHXmSEehgPUhiMP/rL9cjifm7WZNolotq8ff8Y+Z8="/>
    </ext>
  </extLst>
</workbook>
</file>

<file path=xl/calcChain.xml><?xml version="1.0" encoding="utf-8"?>
<calcChain xmlns="http://schemas.openxmlformats.org/spreadsheetml/2006/main">
  <c r="O2" i="3" l="1"/>
  <c r="P2" i="3" s="1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411" i="3"/>
  <c r="P411" i="3" s="1"/>
  <c r="O410" i="3"/>
  <c r="O409" i="3"/>
  <c r="O408" i="3"/>
  <c r="O407" i="3"/>
  <c r="O406" i="3"/>
  <c r="P406" i="3" s="1"/>
  <c r="O405" i="3"/>
  <c r="P405" i="3" s="1"/>
  <c r="O404" i="3"/>
  <c r="O403" i="3"/>
  <c r="O402" i="3"/>
  <c r="O401" i="3"/>
  <c r="O400" i="3"/>
  <c r="O399" i="3"/>
  <c r="O398" i="3"/>
  <c r="P398" i="3" s="1"/>
  <c r="O397" i="3"/>
  <c r="P397" i="3" s="1"/>
  <c r="O396" i="3"/>
  <c r="O395" i="3"/>
  <c r="P395" i="3" s="1"/>
  <c r="O394" i="3"/>
  <c r="O393" i="3"/>
  <c r="O392" i="3"/>
  <c r="O391" i="3"/>
  <c r="O390" i="3"/>
  <c r="P390" i="3" s="1"/>
  <c r="O389" i="3"/>
  <c r="P389" i="3" s="1"/>
  <c r="O388" i="3"/>
  <c r="O387" i="3"/>
  <c r="P387" i="3" s="1"/>
  <c r="O386" i="3"/>
  <c r="O385" i="3"/>
  <c r="O384" i="3"/>
  <c r="O383" i="3"/>
  <c r="O382" i="3"/>
  <c r="P382" i="3" s="1"/>
  <c r="O381" i="3"/>
  <c r="P381" i="3" s="1"/>
  <c r="O380" i="3"/>
  <c r="O379" i="3"/>
  <c r="P379" i="3" s="1"/>
  <c r="O378" i="3"/>
  <c r="O377" i="3"/>
  <c r="O376" i="3"/>
  <c r="O375" i="3"/>
  <c r="O374" i="3"/>
  <c r="P374" i="3" s="1"/>
  <c r="O373" i="3"/>
  <c r="P373" i="3" s="1"/>
  <c r="O372" i="3"/>
  <c r="O371" i="3"/>
  <c r="P371" i="3" s="1"/>
  <c r="O370" i="3"/>
  <c r="O369" i="3"/>
  <c r="O368" i="3"/>
  <c r="O367" i="3"/>
  <c r="O366" i="3"/>
  <c r="P366" i="3" s="1"/>
  <c r="O365" i="3"/>
  <c r="P365" i="3" s="1"/>
  <c r="O364" i="3"/>
  <c r="O363" i="3"/>
  <c r="O362" i="3"/>
  <c r="O361" i="3"/>
  <c r="O360" i="3"/>
  <c r="O359" i="3"/>
  <c r="O358" i="3"/>
  <c r="P358" i="3" s="1"/>
  <c r="O357" i="3"/>
  <c r="P357" i="3" s="1"/>
  <c r="O356" i="3"/>
  <c r="O355" i="3"/>
  <c r="P355" i="3" s="1"/>
  <c r="O354" i="3"/>
  <c r="O353" i="3"/>
  <c r="O352" i="3"/>
  <c r="O351" i="3"/>
  <c r="O350" i="3"/>
  <c r="P350" i="3" s="1"/>
  <c r="O349" i="3"/>
  <c r="P349" i="3" s="1"/>
  <c r="O348" i="3"/>
  <c r="O347" i="3"/>
  <c r="P347" i="3" s="1"/>
  <c r="O346" i="3"/>
  <c r="O345" i="3"/>
  <c r="O344" i="3"/>
  <c r="O343" i="3"/>
  <c r="O342" i="3"/>
  <c r="P342" i="3" s="1"/>
  <c r="O341" i="3"/>
  <c r="P341" i="3" s="1"/>
  <c r="O340" i="3"/>
  <c r="O339" i="3"/>
  <c r="O338" i="3"/>
  <c r="O337" i="3"/>
  <c r="O336" i="3"/>
  <c r="O335" i="3"/>
  <c r="O334" i="3"/>
  <c r="P334" i="3" s="1"/>
  <c r="O333" i="3"/>
  <c r="P333" i="3" s="1"/>
  <c r="O332" i="3"/>
  <c r="O331" i="3"/>
  <c r="O330" i="3"/>
  <c r="O329" i="3"/>
  <c r="O328" i="3"/>
  <c r="O327" i="3"/>
  <c r="O326" i="3"/>
  <c r="P326" i="3" s="1"/>
  <c r="O325" i="3"/>
  <c r="P325" i="3" s="1"/>
  <c r="O324" i="3"/>
  <c r="O323" i="3"/>
  <c r="P323" i="3" s="1"/>
  <c r="O322" i="3"/>
  <c r="O321" i="3"/>
  <c r="O320" i="3"/>
  <c r="O319" i="3"/>
  <c r="O318" i="3"/>
  <c r="P318" i="3" s="1"/>
  <c r="O317" i="3"/>
  <c r="P317" i="3" s="1"/>
  <c r="O316" i="3"/>
  <c r="O315" i="3"/>
  <c r="P315" i="3" s="1"/>
  <c r="O314" i="3"/>
  <c r="O313" i="3"/>
  <c r="O312" i="3"/>
  <c r="O311" i="3"/>
  <c r="O310" i="3"/>
  <c r="P310" i="3" s="1"/>
  <c r="O309" i="3"/>
  <c r="P309" i="3" s="1"/>
  <c r="O308" i="3"/>
  <c r="O307" i="3"/>
  <c r="O306" i="3"/>
  <c r="O305" i="3"/>
  <c r="O304" i="3"/>
  <c r="O303" i="3"/>
  <c r="O302" i="3"/>
  <c r="P302" i="3" s="1"/>
  <c r="O301" i="3"/>
  <c r="P301" i="3" s="1"/>
  <c r="O300" i="3"/>
  <c r="O299" i="3"/>
  <c r="O298" i="3"/>
  <c r="O297" i="3"/>
  <c r="O296" i="3"/>
  <c r="O295" i="3"/>
  <c r="O294" i="3"/>
  <c r="P294" i="3" s="1"/>
  <c r="O293" i="3"/>
  <c r="P293" i="3" s="1"/>
  <c r="O292" i="3"/>
  <c r="O291" i="3"/>
  <c r="P291" i="3" s="1"/>
  <c r="O290" i="3"/>
  <c r="O289" i="3"/>
  <c r="O288" i="3"/>
  <c r="O287" i="3"/>
  <c r="O286" i="3"/>
  <c r="P286" i="3" s="1"/>
  <c r="O285" i="3"/>
  <c r="P285" i="3" s="1"/>
  <c r="O284" i="3"/>
  <c r="O283" i="3"/>
  <c r="P283" i="3" s="1"/>
  <c r="O282" i="3"/>
  <c r="O281" i="3"/>
  <c r="O280" i="3"/>
  <c r="O279" i="3"/>
  <c r="O278" i="3"/>
  <c r="P278" i="3" s="1"/>
  <c r="O277" i="3"/>
  <c r="P277" i="3" s="1"/>
  <c r="O276" i="3"/>
  <c r="O275" i="3"/>
  <c r="O274" i="3"/>
  <c r="O273" i="3"/>
  <c r="O272" i="3"/>
  <c r="O271" i="3"/>
  <c r="O270" i="3"/>
  <c r="P270" i="3" s="1"/>
  <c r="O269" i="3"/>
  <c r="P269" i="3" s="1"/>
  <c r="O268" i="3"/>
  <c r="O267" i="3"/>
  <c r="P267" i="3" s="1"/>
  <c r="O266" i="3"/>
  <c r="O265" i="3"/>
  <c r="O264" i="3"/>
  <c r="O263" i="3"/>
  <c r="O262" i="3"/>
  <c r="P262" i="3" s="1"/>
  <c r="O261" i="3"/>
  <c r="P261" i="3" s="1"/>
  <c r="O260" i="3"/>
  <c r="O259" i="3"/>
  <c r="P259" i="3" s="1"/>
  <c r="O258" i="3"/>
  <c r="O257" i="3"/>
  <c r="O256" i="3"/>
  <c r="O255" i="3"/>
  <c r="O254" i="3"/>
  <c r="P254" i="3" s="1"/>
  <c r="O253" i="3"/>
  <c r="P253" i="3" s="1"/>
  <c r="O252" i="3"/>
  <c r="O251" i="3"/>
  <c r="P251" i="3" s="1"/>
  <c r="O250" i="3"/>
  <c r="O249" i="3"/>
  <c r="O248" i="3"/>
  <c r="O247" i="3"/>
  <c r="O246" i="3"/>
  <c r="P246" i="3" s="1"/>
  <c r="O245" i="3"/>
  <c r="P245" i="3" s="1"/>
  <c r="O244" i="3"/>
  <c r="O243" i="3"/>
  <c r="P243" i="3" s="1"/>
  <c r="O242" i="3"/>
  <c r="O241" i="3"/>
  <c r="O240" i="3"/>
  <c r="O239" i="3"/>
  <c r="O238" i="3"/>
  <c r="P238" i="3" s="1"/>
  <c r="O237" i="3"/>
  <c r="P237" i="3" s="1"/>
  <c r="O236" i="3"/>
  <c r="O235" i="3"/>
  <c r="O234" i="3"/>
  <c r="O233" i="3"/>
  <c r="O232" i="3"/>
  <c r="O231" i="3"/>
  <c r="O230" i="3"/>
  <c r="P230" i="3" s="1"/>
  <c r="O229" i="3"/>
  <c r="P229" i="3" s="1"/>
  <c r="O228" i="3"/>
  <c r="O227" i="3"/>
  <c r="P227" i="3" s="1"/>
  <c r="O226" i="3"/>
  <c r="O225" i="3"/>
  <c r="O224" i="3"/>
  <c r="O223" i="3"/>
  <c r="O222" i="3"/>
  <c r="P222" i="3" s="1"/>
  <c r="O221" i="3"/>
  <c r="P221" i="3" s="1"/>
  <c r="O220" i="3"/>
  <c r="O219" i="3"/>
  <c r="P219" i="3" s="1"/>
  <c r="O218" i="3"/>
  <c r="O217" i="3"/>
  <c r="O216" i="3"/>
  <c r="O215" i="3"/>
  <c r="O214" i="3"/>
  <c r="P214" i="3" s="1"/>
  <c r="O213" i="3"/>
  <c r="P213" i="3" s="1"/>
  <c r="O212" i="3"/>
  <c r="O211" i="3"/>
  <c r="O210" i="3"/>
  <c r="O209" i="3"/>
  <c r="O208" i="3"/>
  <c r="O207" i="3"/>
  <c r="O206" i="3"/>
  <c r="P206" i="3" s="1"/>
  <c r="O205" i="3"/>
  <c r="P205" i="3" s="1"/>
  <c r="O204" i="3"/>
  <c r="O203" i="3"/>
  <c r="O202" i="3"/>
  <c r="O201" i="3"/>
  <c r="O200" i="3"/>
  <c r="O199" i="3"/>
  <c r="O198" i="3"/>
  <c r="P198" i="3" s="1"/>
  <c r="O197" i="3"/>
  <c r="P197" i="3" s="1"/>
  <c r="O196" i="3"/>
  <c r="O195" i="3"/>
  <c r="P195" i="3" s="1"/>
  <c r="O194" i="3"/>
  <c r="O193" i="3"/>
  <c r="O192" i="3"/>
  <c r="O191" i="3"/>
  <c r="O190" i="3"/>
  <c r="P190" i="3" s="1"/>
  <c r="O189" i="3"/>
  <c r="P189" i="3" s="1"/>
  <c r="O188" i="3"/>
  <c r="O187" i="3"/>
  <c r="P187" i="3" s="1"/>
  <c r="O186" i="3"/>
  <c r="O185" i="3"/>
  <c r="O184" i="3"/>
  <c r="O183" i="3"/>
  <c r="O182" i="3"/>
  <c r="P182" i="3" s="1"/>
  <c r="O181" i="3"/>
  <c r="P181" i="3" s="1"/>
  <c r="O180" i="3"/>
  <c r="O179" i="3"/>
  <c r="O178" i="3"/>
  <c r="O177" i="3"/>
  <c r="O176" i="3"/>
  <c r="O175" i="3"/>
  <c r="O174" i="3"/>
  <c r="P174" i="3" s="1"/>
  <c r="O173" i="3"/>
  <c r="P173" i="3" s="1"/>
  <c r="O172" i="3"/>
  <c r="O171" i="3"/>
  <c r="O170" i="3"/>
  <c r="O169" i="3"/>
  <c r="O168" i="3"/>
  <c r="O167" i="3"/>
  <c r="O166" i="3"/>
  <c r="P166" i="3" s="1"/>
  <c r="O165" i="3"/>
  <c r="P165" i="3" s="1"/>
  <c r="O164" i="3"/>
  <c r="O163" i="3"/>
  <c r="O162" i="3"/>
  <c r="O161" i="3"/>
  <c r="O160" i="3"/>
  <c r="O159" i="3"/>
  <c r="O158" i="3"/>
  <c r="P158" i="3" s="1"/>
  <c r="O157" i="3"/>
  <c r="P157" i="3" s="1"/>
  <c r="O156" i="3"/>
  <c r="O155" i="3"/>
  <c r="O154" i="3"/>
  <c r="O153" i="3"/>
  <c r="O152" i="3"/>
  <c r="O151" i="3"/>
  <c r="O150" i="3"/>
  <c r="P150" i="3" s="1"/>
  <c r="O149" i="3"/>
  <c r="P149" i="3" s="1"/>
  <c r="O148" i="3"/>
  <c r="O147" i="3"/>
  <c r="O146" i="3"/>
  <c r="O145" i="3"/>
  <c r="O144" i="3"/>
  <c r="O143" i="3"/>
  <c r="O142" i="3"/>
  <c r="P142" i="3" s="1"/>
  <c r="O141" i="3"/>
  <c r="P141" i="3" s="1"/>
  <c r="O140" i="3"/>
  <c r="O139" i="3"/>
  <c r="O138" i="3"/>
  <c r="O137" i="3"/>
  <c r="O136" i="3"/>
  <c r="O135" i="3"/>
  <c r="O134" i="3"/>
  <c r="P134" i="3" s="1"/>
  <c r="O133" i="3"/>
  <c r="P133" i="3" s="1"/>
  <c r="O132" i="3"/>
  <c r="O131" i="3"/>
  <c r="O130" i="3"/>
  <c r="O129" i="3"/>
  <c r="O128" i="3"/>
  <c r="O127" i="3"/>
  <c r="O126" i="3"/>
  <c r="P126" i="3" s="1"/>
  <c r="O125" i="3"/>
  <c r="P125" i="3" s="1"/>
  <c r="O124" i="3"/>
  <c r="O123" i="3"/>
  <c r="O122" i="3"/>
  <c r="O121" i="3"/>
  <c r="O120" i="3"/>
  <c r="O119" i="3"/>
  <c r="O118" i="3"/>
  <c r="P118" i="3" s="1"/>
  <c r="O117" i="3"/>
  <c r="P117" i="3" s="1"/>
  <c r="O116" i="3"/>
  <c r="O115" i="3"/>
  <c r="O114" i="3"/>
  <c r="O113" i="3"/>
  <c r="O112" i="3"/>
  <c r="O111" i="3"/>
  <c r="O110" i="3"/>
  <c r="P110" i="3" s="1"/>
  <c r="O109" i="3"/>
  <c r="P109" i="3" s="1"/>
  <c r="O108" i="3"/>
  <c r="O107" i="3"/>
  <c r="O106" i="3"/>
  <c r="O105" i="3"/>
  <c r="O104" i="3"/>
  <c r="O103" i="3"/>
  <c r="O102" i="3"/>
  <c r="P102" i="3" s="1"/>
  <c r="O101" i="3"/>
  <c r="P101" i="3" s="1"/>
  <c r="O100" i="3"/>
  <c r="O99" i="3"/>
  <c r="O98" i="3"/>
  <c r="O97" i="3"/>
  <c r="O96" i="3"/>
  <c r="O95" i="3"/>
  <c r="O94" i="3"/>
  <c r="P94" i="3" s="1"/>
  <c r="O93" i="3"/>
  <c r="P93" i="3" s="1"/>
  <c r="O92" i="3"/>
  <c r="O91" i="3"/>
  <c r="O90" i="3"/>
  <c r="O89" i="3"/>
  <c r="O88" i="3"/>
  <c r="O87" i="3"/>
  <c r="O86" i="3"/>
  <c r="P86" i="3" s="1"/>
  <c r="O85" i="3"/>
  <c r="P85" i="3" s="1"/>
  <c r="O84" i="3"/>
  <c r="O83" i="3"/>
  <c r="O82" i="3"/>
  <c r="O81" i="3"/>
  <c r="O80" i="3"/>
  <c r="O79" i="3"/>
  <c r="O78" i="3"/>
  <c r="P78" i="3" s="1"/>
  <c r="O77" i="3"/>
  <c r="P77" i="3" s="1"/>
  <c r="O76" i="3"/>
  <c r="O75" i="3"/>
  <c r="O74" i="3"/>
  <c r="O73" i="3"/>
  <c r="O72" i="3"/>
  <c r="O71" i="3"/>
  <c r="O70" i="3"/>
  <c r="P70" i="3" s="1"/>
  <c r="O69" i="3"/>
  <c r="P69" i="3" s="1"/>
  <c r="O68" i="3"/>
  <c r="O67" i="3"/>
  <c r="O66" i="3"/>
  <c r="O65" i="3"/>
  <c r="O64" i="3"/>
  <c r="O63" i="3"/>
  <c r="O62" i="3"/>
  <c r="P62" i="3" s="1"/>
  <c r="O61" i="3"/>
  <c r="P61" i="3" s="1"/>
  <c r="O60" i="3"/>
  <c r="O59" i="3"/>
  <c r="O58" i="3"/>
  <c r="O57" i="3"/>
  <c r="O56" i="3"/>
  <c r="O55" i="3"/>
  <c r="O54" i="3"/>
  <c r="P54" i="3" s="1"/>
  <c r="O53" i="3"/>
  <c r="P53" i="3" s="1"/>
  <c r="O52" i="3"/>
  <c r="O51" i="3"/>
  <c r="O50" i="3"/>
  <c r="O49" i="3"/>
  <c r="O48" i="3"/>
  <c r="O47" i="3"/>
  <c r="O46" i="3"/>
  <c r="P46" i="3" s="1"/>
  <c r="O45" i="3"/>
  <c r="P45" i="3" s="1"/>
  <c r="O44" i="3"/>
  <c r="O43" i="3"/>
  <c r="O42" i="3"/>
  <c r="O41" i="3"/>
  <c r="O40" i="3"/>
  <c r="O39" i="3"/>
  <c r="O38" i="3"/>
  <c r="P38" i="3" s="1"/>
  <c r="O37" i="3"/>
  <c r="P37" i="3" s="1"/>
  <c r="O36" i="3"/>
  <c r="O35" i="3"/>
  <c r="O34" i="3"/>
  <c r="O33" i="3"/>
  <c r="O32" i="3"/>
  <c r="O31" i="3"/>
  <c r="O30" i="3"/>
  <c r="P30" i="3" s="1"/>
  <c r="O29" i="3"/>
  <c r="P29" i="3" s="1"/>
  <c r="O28" i="3"/>
  <c r="O27" i="3"/>
  <c r="O26" i="3"/>
  <c r="O25" i="3"/>
  <c r="O24" i="3"/>
  <c r="O23" i="3"/>
  <c r="O22" i="3"/>
  <c r="P22" i="3" s="1"/>
  <c r="O21" i="3"/>
  <c r="P21" i="3" s="1"/>
  <c r="O20" i="3"/>
  <c r="O19" i="3"/>
  <c r="O18" i="3"/>
  <c r="O17" i="3"/>
  <c r="O16" i="3"/>
  <c r="O15" i="3"/>
  <c r="O14" i="3"/>
  <c r="P14" i="3" s="1"/>
  <c r="O13" i="3"/>
  <c r="P13" i="3" s="1"/>
  <c r="O12" i="3"/>
  <c r="P12" i="3" s="1"/>
  <c r="O11" i="3"/>
  <c r="P11" i="3" s="1"/>
  <c r="O10" i="3"/>
  <c r="O9" i="3"/>
  <c r="O8" i="3"/>
  <c r="O7" i="3"/>
  <c r="O6" i="3"/>
  <c r="P6" i="3" s="1"/>
  <c r="O5" i="3"/>
  <c r="P5" i="3" s="1"/>
  <c r="O4" i="3"/>
  <c r="P4" i="3" s="1"/>
  <c r="O3" i="3"/>
  <c r="P3" i="3" s="1"/>
  <c r="P410" i="3"/>
  <c r="P409" i="3"/>
  <c r="P408" i="3"/>
  <c r="P407" i="3"/>
  <c r="P404" i="3"/>
  <c r="P403" i="3"/>
  <c r="P402" i="3"/>
  <c r="P401" i="3"/>
  <c r="P400" i="3"/>
  <c r="P399" i="3"/>
  <c r="P396" i="3"/>
  <c r="P394" i="3"/>
  <c r="P393" i="3"/>
  <c r="P392" i="3"/>
  <c r="P391" i="3"/>
  <c r="P388" i="3"/>
  <c r="P386" i="3"/>
  <c r="P385" i="3"/>
  <c r="P384" i="3"/>
  <c r="P383" i="3"/>
  <c r="P380" i="3"/>
  <c r="P378" i="3"/>
  <c r="P377" i="3"/>
  <c r="P376" i="3"/>
  <c r="P375" i="3"/>
  <c r="P372" i="3"/>
  <c r="P370" i="3"/>
  <c r="P369" i="3"/>
  <c r="P368" i="3"/>
  <c r="P367" i="3"/>
  <c r="P364" i="3"/>
  <c r="P363" i="3"/>
  <c r="P362" i="3"/>
  <c r="P361" i="3"/>
  <c r="P360" i="3"/>
  <c r="P359" i="3"/>
  <c r="P356" i="3"/>
  <c r="P354" i="3"/>
  <c r="P353" i="3"/>
  <c r="P352" i="3"/>
  <c r="P351" i="3"/>
  <c r="P348" i="3"/>
  <c r="P346" i="3"/>
  <c r="P345" i="3"/>
  <c r="P344" i="3"/>
  <c r="P343" i="3"/>
  <c r="P340" i="3"/>
  <c r="P339" i="3"/>
  <c r="P338" i="3"/>
  <c r="P337" i="3"/>
  <c r="P336" i="3"/>
  <c r="P335" i="3"/>
  <c r="P332" i="3"/>
  <c r="P331" i="3"/>
  <c r="P330" i="3"/>
  <c r="P329" i="3"/>
  <c r="P328" i="3"/>
  <c r="P327" i="3"/>
  <c r="P324" i="3"/>
  <c r="P322" i="3"/>
  <c r="P321" i="3"/>
  <c r="P320" i="3"/>
  <c r="P319" i="3"/>
  <c r="P316" i="3"/>
  <c r="P314" i="3"/>
  <c r="P313" i="3"/>
  <c r="P312" i="3"/>
  <c r="P311" i="3"/>
  <c r="P308" i="3"/>
  <c r="P307" i="3"/>
  <c r="P306" i="3"/>
  <c r="P305" i="3"/>
  <c r="P304" i="3"/>
  <c r="P303" i="3"/>
  <c r="P300" i="3"/>
  <c r="P299" i="3"/>
  <c r="P298" i="3"/>
  <c r="P297" i="3"/>
  <c r="P296" i="3"/>
  <c r="P295" i="3"/>
  <c r="P292" i="3"/>
  <c r="P290" i="3"/>
  <c r="P289" i="3"/>
  <c r="P288" i="3"/>
  <c r="P287" i="3"/>
  <c r="P284" i="3"/>
  <c r="P282" i="3"/>
  <c r="P281" i="3"/>
  <c r="P280" i="3"/>
  <c r="P279" i="3"/>
  <c r="P276" i="3"/>
  <c r="P275" i="3"/>
  <c r="P274" i="3"/>
  <c r="P273" i="3"/>
  <c r="P272" i="3"/>
  <c r="P271" i="3"/>
  <c r="P268" i="3"/>
  <c r="P266" i="3"/>
  <c r="P265" i="3"/>
  <c r="P264" i="3"/>
  <c r="P263" i="3"/>
  <c r="P260" i="3"/>
  <c r="P258" i="3"/>
  <c r="P257" i="3"/>
  <c r="P256" i="3"/>
  <c r="P255" i="3"/>
  <c r="P252" i="3"/>
  <c r="P250" i="3"/>
  <c r="P249" i="3"/>
  <c r="P248" i="3"/>
  <c r="P247" i="3"/>
  <c r="P244" i="3"/>
  <c r="P242" i="3"/>
  <c r="P241" i="3"/>
  <c r="P240" i="3"/>
  <c r="P239" i="3"/>
  <c r="P236" i="3"/>
  <c r="P235" i="3"/>
  <c r="P234" i="3"/>
  <c r="P233" i="3"/>
  <c r="P232" i="3"/>
  <c r="P231" i="3"/>
  <c r="P228" i="3"/>
  <c r="P226" i="3"/>
  <c r="P225" i="3"/>
  <c r="P224" i="3"/>
  <c r="P223" i="3"/>
  <c r="P220" i="3"/>
  <c r="P218" i="3"/>
  <c r="P217" i="3"/>
  <c r="P216" i="3"/>
  <c r="P215" i="3"/>
  <c r="P212" i="3"/>
  <c r="P211" i="3"/>
  <c r="P210" i="3"/>
  <c r="P209" i="3"/>
  <c r="P208" i="3"/>
  <c r="P207" i="3"/>
  <c r="P204" i="3"/>
  <c r="P203" i="3"/>
  <c r="P202" i="3"/>
  <c r="P201" i="3"/>
  <c r="P200" i="3"/>
  <c r="P199" i="3"/>
  <c r="P196" i="3"/>
  <c r="P194" i="3"/>
  <c r="P193" i="3"/>
  <c r="P192" i="3"/>
  <c r="P191" i="3"/>
  <c r="P188" i="3"/>
  <c r="P186" i="3"/>
  <c r="P185" i="3"/>
  <c r="P184" i="3"/>
  <c r="P183" i="3"/>
  <c r="P180" i="3"/>
  <c r="P179" i="3"/>
  <c r="P178" i="3"/>
  <c r="P177" i="3"/>
  <c r="P176" i="3"/>
  <c r="P175" i="3"/>
  <c r="P172" i="3"/>
  <c r="P171" i="3"/>
  <c r="P170" i="3"/>
  <c r="P169" i="3"/>
  <c r="P168" i="3"/>
  <c r="P167" i="3"/>
  <c r="P164" i="3"/>
  <c r="P163" i="3"/>
  <c r="P162" i="3"/>
  <c r="P161" i="3"/>
  <c r="P160" i="3"/>
  <c r="P159" i="3"/>
  <c r="P156" i="3"/>
  <c r="P155" i="3"/>
  <c r="P154" i="3"/>
  <c r="P153" i="3"/>
  <c r="P152" i="3"/>
  <c r="P151" i="3"/>
  <c r="P148" i="3"/>
  <c r="P147" i="3"/>
  <c r="P146" i="3"/>
  <c r="P145" i="3"/>
  <c r="P144" i="3"/>
  <c r="P143" i="3"/>
  <c r="P140" i="3"/>
  <c r="P139" i="3"/>
  <c r="P138" i="3"/>
  <c r="P137" i="3"/>
  <c r="P136" i="3"/>
  <c r="P135" i="3"/>
  <c r="P132" i="3"/>
  <c r="P131" i="3"/>
  <c r="P130" i="3"/>
  <c r="P129" i="3"/>
  <c r="P128" i="3"/>
  <c r="P127" i="3"/>
  <c r="P124" i="3"/>
  <c r="P123" i="3"/>
  <c r="P122" i="3"/>
  <c r="P121" i="3"/>
  <c r="P120" i="3"/>
  <c r="P119" i="3"/>
  <c r="P116" i="3"/>
  <c r="P115" i="3"/>
  <c r="P114" i="3"/>
  <c r="P113" i="3"/>
  <c r="P112" i="3"/>
  <c r="P111" i="3"/>
  <c r="P108" i="3"/>
  <c r="P107" i="3"/>
  <c r="P106" i="3"/>
  <c r="P105" i="3"/>
  <c r="P104" i="3"/>
  <c r="P103" i="3"/>
  <c r="P100" i="3"/>
  <c r="P99" i="3"/>
  <c r="P98" i="3"/>
  <c r="P97" i="3"/>
  <c r="P96" i="3"/>
  <c r="P95" i="3"/>
  <c r="P92" i="3"/>
  <c r="P91" i="3"/>
  <c r="P90" i="3"/>
  <c r="P89" i="3"/>
  <c r="P88" i="3"/>
  <c r="P87" i="3"/>
  <c r="P84" i="3"/>
  <c r="P83" i="3"/>
  <c r="P82" i="3"/>
  <c r="P81" i="3"/>
  <c r="P80" i="3"/>
  <c r="P79" i="3"/>
  <c r="P76" i="3"/>
  <c r="P75" i="3"/>
  <c r="P74" i="3"/>
  <c r="P73" i="3"/>
  <c r="P72" i="3"/>
  <c r="P71" i="3"/>
  <c r="P68" i="3"/>
  <c r="P67" i="3"/>
  <c r="P66" i="3"/>
  <c r="P65" i="3"/>
  <c r="P64" i="3"/>
  <c r="P63" i="3"/>
  <c r="P60" i="3"/>
  <c r="P59" i="3"/>
  <c r="P58" i="3"/>
  <c r="P57" i="3"/>
  <c r="P56" i="3"/>
  <c r="P55" i="3"/>
  <c r="P52" i="3"/>
  <c r="P51" i="3"/>
  <c r="P50" i="3"/>
  <c r="P49" i="3"/>
  <c r="P48" i="3"/>
  <c r="P47" i="3"/>
  <c r="P44" i="3"/>
  <c r="P43" i="3"/>
  <c r="P42" i="3"/>
  <c r="P41" i="3"/>
  <c r="P40" i="3"/>
  <c r="P39" i="3"/>
  <c r="P36" i="3"/>
  <c r="P35" i="3"/>
  <c r="P34" i="3"/>
  <c r="P33" i="3"/>
  <c r="P32" i="3"/>
  <c r="P31" i="3"/>
  <c r="P28" i="3"/>
  <c r="P27" i="3"/>
  <c r="P26" i="3"/>
  <c r="P25" i="3"/>
  <c r="P24" i="3"/>
  <c r="P23" i="3"/>
  <c r="P20" i="3"/>
  <c r="P19" i="3"/>
  <c r="P18" i="3"/>
  <c r="P17" i="3"/>
  <c r="P16" i="3"/>
  <c r="P15" i="3"/>
  <c r="P10" i="3"/>
  <c r="P9" i="3"/>
  <c r="P8" i="3"/>
  <c r="P7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T411" i="3"/>
  <c r="S411" i="3"/>
  <c r="R411" i="3"/>
  <c r="C411" i="3"/>
  <c r="D411" i="3" s="1"/>
  <c r="T410" i="3"/>
  <c r="S410" i="3"/>
  <c r="R410" i="3"/>
  <c r="C410" i="3"/>
  <c r="D410" i="3" s="1"/>
  <c r="T409" i="3"/>
  <c r="S409" i="3"/>
  <c r="R409" i="3"/>
  <c r="C409" i="3"/>
  <c r="D409" i="3" s="1"/>
  <c r="T408" i="3"/>
  <c r="S408" i="3"/>
  <c r="R408" i="3"/>
  <c r="C408" i="3"/>
  <c r="D408" i="3" s="1"/>
  <c r="T407" i="3"/>
  <c r="S407" i="3"/>
  <c r="R407" i="3"/>
  <c r="C407" i="3"/>
  <c r="D407" i="3" s="1"/>
  <c r="T406" i="3"/>
  <c r="S406" i="3"/>
  <c r="R406" i="3"/>
  <c r="C406" i="3"/>
  <c r="D406" i="3" s="1"/>
  <c r="T405" i="3"/>
  <c r="S405" i="3"/>
  <c r="R405" i="3"/>
  <c r="C405" i="3"/>
  <c r="D405" i="3" s="1"/>
  <c r="T404" i="3"/>
  <c r="S404" i="3"/>
  <c r="R404" i="3"/>
  <c r="C404" i="3"/>
  <c r="D404" i="3" s="1"/>
  <c r="T403" i="3"/>
  <c r="S403" i="3"/>
  <c r="R403" i="3"/>
  <c r="C403" i="3"/>
  <c r="D403" i="3" s="1"/>
  <c r="T402" i="3"/>
  <c r="S402" i="3"/>
  <c r="R402" i="3"/>
  <c r="C402" i="3"/>
  <c r="D402" i="3" s="1"/>
  <c r="T401" i="3"/>
  <c r="S401" i="3"/>
  <c r="R401" i="3"/>
  <c r="C401" i="3"/>
  <c r="D401" i="3" s="1"/>
  <c r="T400" i="3"/>
  <c r="S400" i="3"/>
  <c r="R400" i="3"/>
  <c r="C400" i="3"/>
  <c r="D400" i="3" s="1"/>
  <c r="T399" i="3"/>
  <c r="S399" i="3"/>
  <c r="R399" i="3"/>
  <c r="C399" i="3"/>
  <c r="D399" i="3" s="1"/>
  <c r="T398" i="3"/>
  <c r="S398" i="3"/>
  <c r="R398" i="3"/>
  <c r="C398" i="3"/>
  <c r="D398" i="3" s="1"/>
  <c r="T397" i="3"/>
  <c r="S397" i="3"/>
  <c r="R397" i="3"/>
  <c r="C397" i="3"/>
  <c r="D397" i="3" s="1"/>
  <c r="T396" i="3"/>
  <c r="S396" i="3"/>
  <c r="R396" i="3"/>
  <c r="C396" i="3"/>
  <c r="D396" i="3" s="1"/>
  <c r="T395" i="3"/>
  <c r="S395" i="3"/>
  <c r="R395" i="3"/>
  <c r="C395" i="3"/>
  <c r="D395" i="3" s="1"/>
  <c r="T394" i="3"/>
  <c r="S394" i="3"/>
  <c r="R394" i="3"/>
  <c r="C394" i="3"/>
  <c r="D394" i="3" s="1"/>
  <c r="T393" i="3"/>
  <c r="S393" i="3"/>
  <c r="R393" i="3"/>
  <c r="C393" i="3"/>
  <c r="D393" i="3" s="1"/>
  <c r="T392" i="3"/>
  <c r="S392" i="3"/>
  <c r="R392" i="3"/>
  <c r="C392" i="3"/>
  <c r="D392" i="3" s="1"/>
  <c r="T391" i="3"/>
  <c r="S391" i="3"/>
  <c r="R391" i="3"/>
  <c r="C391" i="3"/>
  <c r="D391" i="3" s="1"/>
  <c r="T390" i="3"/>
  <c r="S390" i="3"/>
  <c r="R390" i="3"/>
  <c r="C390" i="3"/>
  <c r="D390" i="3" s="1"/>
  <c r="T389" i="3"/>
  <c r="S389" i="3"/>
  <c r="R389" i="3"/>
  <c r="C389" i="3"/>
  <c r="D389" i="3" s="1"/>
  <c r="T388" i="3"/>
  <c r="S388" i="3"/>
  <c r="R388" i="3"/>
  <c r="C388" i="3"/>
  <c r="D388" i="3" s="1"/>
  <c r="T387" i="3"/>
  <c r="S387" i="3"/>
  <c r="R387" i="3"/>
  <c r="C387" i="3"/>
  <c r="D387" i="3" s="1"/>
  <c r="T386" i="3"/>
  <c r="S386" i="3"/>
  <c r="R386" i="3"/>
  <c r="C386" i="3"/>
  <c r="D386" i="3" s="1"/>
  <c r="T385" i="3"/>
  <c r="S385" i="3"/>
  <c r="R385" i="3"/>
  <c r="C385" i="3"/>
  <c r="D385" i="3" s="1"/>
  <c r="T384" i="3"/>
  <c r="S384" i="3"/>
  <c r="R384" i="3"/>
  <c r="C384" i="3"/>
  <c r="D384" i="3" s="1"/>
  <c r="T383" i="3"/>
  <c r="S383" i="3"/>
  <c r="R383" i="3"/>
  <c r="C383" i="3"/>
  <c r="D383" i="3" s="1"/>
  <c r="T382" i="3"/>
  <c r="S382" i="3"/>
  <c r="R382" i="3"/>
  <c r="C382" i="3"/>
  <c r="D382" i="3" s="1"/>
  <c r="T381" i="3"/>
  <c r="S381" i="3"/>
  <c r="R381" i="3"/>
  <c r="C381" i="3"/>
  <c r="D381" i="3" s="1"/>
  <c r="T380" i="3"/>
  <c r="S380" i="3"/>
  <c r="R380" i="3"/>
  <c r="C380" i="3"/>
  <c r="D380" i="3" s="1"/>
  <c r="T379" i="3"/>
  <c r="S379" i="3"/>
  <c r="R379" i="3"/>
  <c r="C379" i="3"/>
  <c r="D379" i="3" s="1"/>
  <c r="T378" i="3"/>
  <c r="S378" i="3"/>
  <c r="R378" i="3"/>
  <c r="C378" i="3"/>
  <c r="D378" i="3" s="1"/>
  <c r="T377" i="3"/>
  <c r="S377" i="3"/>
  <c r="R377" i="3"/>
  <c r="C377" i="3"/>
  <c r="D377" i="3" s="1"/>
  <c r="T376" i="3"/>
  <c r="S376" i="3"/>
  <c r="R376" i="3"/>
  <c r="C376" i="3"/>
  <c r="D376" i="3" s="1"/>
  <c r="T375" i="3"/>
  <c r="S375" i="3"/>
  <c r="R375" i="3"/>
  <c r="C375" i="3"/>
  <c r="D375" i="3" s="1"/>
  <c r="T374" i="3"/>
  <c r="S374" i="3"/>
  <c r="R374" i="3"/>
  <c r="C374" i="3"/>
  <c r="D374" i="3" s="1"/>
  <c r="T373" i="3"/>
  <c r="S373" i="3"/>
  <c r="R373" i="3"/>
  <c r="C373" i="3"/>
  <c r="D373" i="3" s="1"/>
  <c r="T372" i="3"/>
  <c r="S372" i="3"/>
  <c r="R372" i="3"/>
  <c r="C372" i="3"/>
  <c r="D372" i="3" s="1"/>
  <c r="T371" i="3"/>
  <c r="S371" i="3"/>
  <c r="R371" i="3"/>
  <c r="C371" i="3"/>
  <c r="D371" i="3" s="1"/>
  <c r="T370" i="3"/>
  <c r="S370" i="3"/>
  <c r="R370" i="3"/>
  <c r="C370" i="3"/>
  <c r="D370" i="3" s="1"/>
  <c r="T369" i="3"/>
  <c r="S369" i="3"/>
  <c r="R369" i="3"/>
  <c r="C369" i="3"/>
  <c r="D369" i="3" s="1"/>
  <c r="T368" i="3"/>
  <c r="S368" i="3"/>
  <c r="R368" i="3"/>
  <c r="C368" i="3"/>
  <c r="D368" i="3" s="1"/>
  <c r="T367" i="3"/>
  <c r="S367" i="3"/>
  <c r="R367" i="3"/>
  <c r="C367" i="3"/>
  <c r="D367" i="3" s="1"/>
  <c r="T366" i="3"/>
  <c r="S366" i="3"/>
  <c r="R366" i="3"/>
  <c r="C366" i="3"/>
  <c r="D366" i="3" s="1"/>
  <c r="T365" i="3"/>
  <c r="S365" i="3"/>
  <c r="R365" i="3"/>
  <c r="C365" i="3"/>
  <c r="D365" i="3" s="1"/>
  <c r="T364" i="3"/>
  <c r="S364" i="3"/>
  <c r="R364" i="3"/>
  <c r="C364" i="3"/>
  <c r="D364" i="3" s="1"/>
  <c r="T363" i="3"/>
  <c r="S363" i="3"/>
  <c r="R363" i="3"/>
  <c r="C363" i="3"/>
  <c r="D363" i="3" s="1"/>
  <c r="T362" i="3"/>
  <c r="S362" i="3"/>
  <c r="R362" i="3"/>
  <c r="C362" i="3"/>
  <c r="D362" i="3" s="1"/>
  <c r="T361" i="3"/>
  <c r="S361" i="3"/>
  <c r="R361" i="3"/>
  <c r="C361" i="3"/>
  <c r="D361" i="3" s="1"/>
  <c r="T360" i="3"/>
  <c r="S360" i="3"/>
  <c r="R360" i="3"/>
  <c r="C360" i="3"/>
  <c r="D360" i="3" s="1"/>
  <c r="T359" i="3"/>
  <c r="S359" i="3"/>
  <c r="R359" i="3"/>
  <c r="C359" i="3"/>
  <c r="D359" i="3" s="1"/>
  <c r="T358" i="3"/>
  <c r="S358" i="3"/>
  <c r="R358" i="3"/>
  <c r="C358" i="3"/>
  <c r="D358" i="3" s="1"/>
  <c r="T357" i="3"/>
  <c r="S357" i="3"/>
  <c r="R357" i="3"/>
  <c r="C357" i="3"/>
  <c r="D357" i="3" s="1"/>
  <c r="T356" i="3"/>
  <c r="S356" i="3"/>
  <c r="R356" i="3"/>
  <c r="C356" i="3"/>
  <c r="D356" i="3" s="1"/>
  <c r="T355" i="3"/>
  <c r="S355" i="3"/>
  <c r="R355" i="3"/>
  <c r="C355" i="3"/>
  <c r="D355" i="3" s="1"/>
  <c r="T354" i="3"/>
  <c r="S354" i="3"/>
  <c r="R354" i="3"/>
  <c r="C354" i="3"/>
  <c r="D354" i="3" s="1"/>
  <c r="T353" i="3"/>
  <c r="S353" i="3"/>
  <c r="R353" i="3"/>
  <c r="C353" i="3"/>
  <c r="D353" i="3" s="1"/>
  <c r="T352" i="3"/>
  <c r="S352" i="3"/>
  <c r="R352" i="3"/>
  <c r="C352" i="3"/>
  <c r="D352" i="3" s="1"/>
  <c r="T351" i="3"/>
  <c r="S351" i="3"/>
  <c r="R351" i="3"/>
  <c r="C351" i="3"/>
  <c r="D351" i="3" s="1"/>
  <c r="T350" i="3"/>
  <c r="S350" i="3"/>
  <c r="R350" i="3"/>
  <c r="C350" i="3"/>
  <c r="D350" i="3" s="1"/>
  <c r="T349" i="3"/>
  <c r="S349" i="3"/>
  <c r="R349" i="3"/>
  <c r="C349" i="3"/>
  <c r="D349" i="3" s="1"/>
  <c r="T348" i="3"/>
  <c r="S348" i="3"/>
  <c r="R348" i="3"/>
  <c r="C348" i="3"/>
  <c r="D348" i="3" s="1"/>
  <c r="T347" i="3"/>
  <c r="S347" i="3"/>
  <c r="R347" i="3"/>
  <c r="C347" i="3"/>
  <c r="D347" i="3" s="1"/>
  <c r="T346" i="3"/>
  <c r="S346" i="3"/>
  <c r="R346" i="3"/>
  <c r="C346" i="3"/>
  <c r="D346" i="3" s="1"/>
  <c r="T345" i="3"/>
  <c r="S345" i="3"/>
  <c r="R345" i="3"/>
  <c r="C345" i="3"/>
  <c r="D345" i="3" s="1"/>
  <c r="T344" i="3"/>
  <c r="S344" i="3"/>
  <c r="R344" i="3"/>
  <c r="C344" i="3"/>
  <c r="D344" i="3" s="1"/>
  <c r="T343" i="3"/>
  <c r="S343" i="3"/>
  <c r="R343" i="3"/>
  <c r="C343" i="3"/>
  <c r="D343" i="3" s="1"/>
  <c r="T342" i="3"/>
  <c r="S342" i="3"/>
  <c r="R342" i="3"/>
  <c r="C342" i="3"/>
  <c r="D342" i="3" s="1"/>
  <c r="T341" i="3"/>
  <c r="S341" i="3"/>
  <c r="R341" i="3"/>
  <c r="C341" i="3"/>
  <c r="D341" i="3" s="1"/>
  <c r="T340" i="3"/>
  <c r="S340" i="3"/>
  <c r="R340" i="3"/>
  <c r="C340" i="3"/>
  <c r="D340" i="3" s="1"/>
  <c r="T339" i="3"/>
  <c r="S339" i="3"/>
  <c r="R339" i="3"/>
  <c r="C339" i="3"/>
  <c r="D339" i="3" s="1"/>
  <c r="T338" i="3"/>
  <c r="S338" i="3"/>
  <c r="R338" i="3"/>
  <c r="C338" i="3"/>
  <c r="D338" i="3" s="1"/>
  <c r="T337" i="3"/>
  <c r="S337" i="3"/>
  <c r="R337" i="3"/>
  <c r="C337" i="3"/>
  <c r="D337" i="3" s="1"/>
  <c r="T336" i="3"/>
  <c r="S336" i="3"/>
  <c r="R336" i="3"/>
  <c r="C336" i="3"/>
  <c r="D336" i="3" s="1"/>
  <c r="T335" i="3"/>
  <c r="S335" i="3"/>
  <c r="R335" i="3"/>
  <c r="C335" i="3"/>
  <c r="D335" i="3" s="1"/>
  <c r="T334" i="3"/>
  <c r="S334" i="3"/>
  <c r="R334" i="3"/>
  <c r="C334" i="3"/>
  <c r="D334" i="3" s="1"/>
  <c r="T333" i="3"/>
  <c r="S333" i="3"/>
  <c r="R333" i="3"/>
  <c r="C333" i="3"/>
  <c r="D333" i="3" s="1"/>
  <c r="T332" i="3"/>
  <c r="S332" i="3"/>
  <c r="R332" i="3"/>
  <c r="C332" i="3"/>
  <c r="D332" i="3" s="1"/>
  <c r="T331" i="3"/>
  <c r="S331" i="3"/>
  <c r="R331" i="3"/>
  <c r="C331" i="3"/>
  <c r="D331" i="3" s="1"/>
  <c r="T330" i="3"/>
  <c r="S330" i="3"/>
  <c r="R330" i="3"/>
  <c r="C330" i="3"/>
  <c r="D330" i="3" s="1"/>
  <c r="T329" i="3"/>
  <c r="S329" i="3"/>
  <c r="R329" i="3"/>
  <c r="C329" i="3"/>
  <c r="D329" i="3" s="1"/>
  <c r="T328" i="3"/>
  <c r="S328" i="3"/>
  <c r="R328" i="3"/>
  <c r="C328" i="3"/>
  <c r="D328" i="3" s="1"/>
  <c r="T327" i="3"/>
  <c r="S327" i="3"/>
  <c r="R327" i="3"/>
  <c r="C327" i="3"/>
  <c r="D327" i="3" s="1"/>
  <c r="T326" i="3"/>
  <c r="S326" i="3"/>
  <c r="R326" i="3"/>
  <c r="C326" i="3"/>
  <c r="D326" i="3" s="1"/>
  <c r="T325" i="3"/>
  <c r="S325" i="3"/>
  <c r="R325" i="3"/>
  <c r="C325" i="3"/>
  <c r="D325" i="3" s="1"/>
  <c r="T324" i="3"/>
  <c r="S324" i="3"/>
  <c r="R324" i="3"/>
  <c r="C324" i="3"/>
  <c r="D324" i="3" s="1"/>
  <c r="T323" i="3"/>
  <c r="S323" i="3"/>
  <c r="R323" i="3"/>
  <c r="C323" i="3"/>
  <c r="D323" i="3" s="1"/>
  <c r="T322" i="3"/>
  <c r="S322" i="3"/>
  <c r="R322" i="3"/>
  <c r="C322" i="3"/>
  <c r="D322" i="3" s="1"/>
  <c r="T321" i="3"/>
  <c r="S321" i="3"/>
  <c r="R321" i="3"/>
  <c r="C321" i="3"/>
  <c r="D321" i="3" s="1"/>
  <c r="T320" i="3"/>
  <c r="S320" i="3"/>
  <c r="R320" i="3"/>
  <c r="C320" i="3"/>
  <c r="D320" i="3" s="1"/>
  <c r="T319" i="3"/>
  <c r="S319" i="3"/>
  <c r="R319" i="3"/>
  <c r="C319" i="3"/>
  <c r="D319" i="3" s="1"/>
  <c r="T318" i="3"/>
  <c r="S318" i="3"/>
  <c r="R318" i="3"/>
  <c r="C318" i="3"/>
  <c r="D318" i="3" s="1"/>
  <c r="T317" i="3"/>
  <c r="S317" i="3"/>
  <c r="R317" i="3"/>
  <c r="C317" i="3"/>
  <c r="D317" i="3" s="1"/>
  <c r="T316" i="3"/>
  <c r="S316" i="3"/>
  <c r="R316" i="3"/>
  <c r="C316" i="3"/>
  <c r="D316" i="3" s="1"/>
  <c r="T315" i="3"/>
  <c r="S315" i="3"/>
  <c r="R315" i="3"/>
  <c r="C315" i="3"/>
  <c r="D315" i="3" s="1"/>
  <c r="T314" i="3"/>
  <c r="S314" i="3"/>
  <c r="R314" i="3"/>
  <c r="C314" i="3"/>
  <c r="D314" i="3" s="1"/>
  <c r="T313" i="3"/>
  <c r="S313" i="3"/>
  <c r="R313" i="3"/>
  <c r="C313" i="3"/>
  <c r="D313" i="3" s="1"/>
  <c r="T312" i="3"/>
  <c r="S312" i="3"/>
  <c r="R312" i="3"/>
  <c r="C312" i="3"/>
  <c r="D312" i="3" s="1"/>
  <c r="T311" i="3"/>
  <c r="S311" i="3"/>
  <c r="R311" i="3"/>
  <c r="C311" i="3"/>
  <c r="D311" i="3" s="1"/>
  <c r="T310" i="3"/>
  <c r="S310" i="3"/>
  <c r="R310" i="3"/>
  <c r="C310" i="3"/>
  <c r="D310" i="3" s="1"/>
  <c r="T309" i="3"/>
  <c r="S309" i="3"/>
  <c r="R309" i="3"/>
  <c r="C309" i="3"/>
  <c r="D309" i="3" s="1"/>
  <c r="T308" i="3"/>
  <c r="S308" i="3"/>
  <c r="R308" i="3"/>
  <c r="C308" i="3"/>
  <c r="D308" i="3" s="1"/>
  <c r="T307" i="3"/>
  <c r="S307" i="3"/>
  <c r="R307" i="3"/>
  <c r="C307" i="3"/>
  <c r="D307" i="3" s="1"/>
  <c r="T306" i="3"/>
  <c r="S306" i="3"/>
  <c r="R306" i="3"/>
  <c r="C306" i="3"/>
  <c r="D306" i="3" s="1"/>
  <c r="T305" i="3"/>
  <c r="S305" i="3"/>
  <c r="R305" i="3"/>
  <c r="C305" i="3"/>
  <c r="D305" i="3" s="1"/>
  <c r="T304" i="3"/>
  <c r="S304" i="3"/>
  <c r="R304" i="3"/>
  <c r="C304" i="3"/>
  <c r="D304" i="3" s="1"/>
  <c r="T303" i="3"/>
  <c r="S303" i="3"/>
  <c r="R303" i="3"/>
  <c r="C303" i="3"/>
  <c r="D303" i="3" s="1"/>
  <c r="T302" i="3"/>
  <c r="S302" i="3"/>
  <c r="R302" i="3"/>
  <c r="C302" i="3"/>
  <c r="D302" i="3" s="1"/>
  <c r="T301" i="3"/>
  <c r="S301" i="3"/>
  <c r="R301" i="3"/>
  <c r="C301" i="3"/>
  <c r="D301" i="3" s="1"/>
  <c r="T300" i="3"/>
  <c r="S300" i="3"/>
  <c r="R300" i="3"/>
  <c r="C300" i="3"/>
  <c r="D300" i="3" s="1"/>
  <c r="T299" i="3"/>
  <c r="S299" i="3"/>
  <c r="R299" i="3"/>
  <c r="C299" i="3"/>
  <c r="D299" i="3" s="1"/>
  <c r="T298" i="3"/>
  <c r="S298" i="3"/>
  <c r="R298" i="3"/>
  <c r="C298" i="3"/>
  <c r="D298" i="3" s="1"/>
  <c r="T297" i="3"/>
  <c r="S297" i="3"/>
  <c r="R297" i="3"/>
  <c r="C297" i="3"/>
  <c r="D297" i="3" s="1"/>
  <c r="T296" i="3"/>
  <c r="S296" i="3"/>
  <c r="R296" i="3"/>
  <c r="C296" i="3"/>
  <c r="D296" i="3" s="1"/>
  <c r="T295" i="3"/>
  <c r="S295" i="3"/>
  <c r="R295" i="3"/>
  <c r="C295" i="3"/>
  <c r="D295" i="3" s="1"/>
  <c r="T294" i="3"/>
  <c r="S294" i="3"/>
  <c r="R294" i="3"/>
  <c r="C294" i="3"/>
  <c r="D294" i="3" s="1"/>
  <c r="T293" i="3"/>
  <c r="S293" i="3"/>
  <c r="R293" i="3"/>
  <c r="C293" i="3"/>
  <c r="D293" i="3" s="1"/>
  <c r="T292" i="3"/>
  <c r="S292" i="3"/>
  <c r="R292" i="3"/>
  <c r="C292" i="3"/>
  <c r="D292" i="3" s="1"/>
  <c r="T291" i="3"/>
  <c r="S291" i="3"/>
  <c r="R291" i="3"/>
  <c r="C291" i="3"/>
  <c r="D291" i="3" s="1"/>
  <c r="T290" i="3"/>
  <c r="S290" i="3"/>
  <c r="R290" i="3"/>
  <c r="C290" i="3"/>
  <c r="D290" i="3" s="1"/>
  <c r="T289" i="3"/>
  <c r="S289" i="3"/>
  <c r="R289" i="3"/>
  <c r="C289" i="3"/>
  <c r="D289" i="3" s="1"/>
  <c r="T288" i="3"/>
  <c r="S288" i="3"/>
  <c r="R288" i="3"/>
  <c r="C288" i="3"/>
  <c r="D288" i="3" s="1"/>
  <c r="T287" i="3"/>
  <c r="S287" i="3"/>
  <c r="R287" i="3"/>
  <c r="C287" i="3"/>
  <c r="D287" i="3" s="1"/>
  <c r="T286" i="3"/>
  <c r="S286" i="3"/>
  <c r="R286" i="3"/>
  <c r="C286" i="3"/>
  <c r="D286" i="3" s="1"/>
  <c r="T285" i="3"/>
  <c r="S285" i="3"/>
  <c r="R285" i="3"/>
  <c r="C285" i="3"/>
  <c r="D285" i="3" s="1"/>
  <c r="T284" i="3"/>
  <c r="S284" i="3"/>
  <c r="R284" i="3"/>
  <c r="C284" i="3"/>
  <c r="D284" i="3" s="1"/>
  <c r="T283" i="3"/>
  <c r="S283" i="3"/>
  <c r="R283" i="3"/>
  <c r="C283" i="3"/>
  <c r="D283" i="3" s="1"/>
  <c r="T282" i="3"/>
  <c r="S282" i="3"/>
  <c r="R282" i="3"/>
  <c r="C282" i="3"/>
  <c r="D282" i="3" s="1"/>
  <c r="T281" i="3"/>
  <c r="S281" i="3"/>
  <c r="R281" i="3"/>
  <c r="C281" i="3"/>
  <c r="D281" i="3" s="1"/>
  <c r="T280" i="3"/>
  <c r="S280" i="3"/>
  <c r="R280" i="3"/>
  <c r="C280" i="3"/>
  <c r="D280" i="3" s="1"/>
  <c r="T279" i="3"/>
  <c r="S279" i="3"/>
  <c r="R279" i="3"/>
  <c r="C279" i="3"/>
  <c r="D279" i="3" s="1"/>
  <c r="T278" i="3"/>
  <c r="S278" i="3"/>
  <c r="R278" i="3"/>
  <c r="C278" i="3"/>
  <c r="D278" i="3" s="1"/>
  <c r="T277" i="3"/>
  <c r="S277" i="3"/>
  <c r="R277" i="3"/>
  <c r="C277" i="3"/>
  <c r="D277" i="3" s="1"/>
  <c r="T276" i="3"/>
  <c r="S276" i="3"/>
  <c r="R276" i="3"/>
  <c r="C276" i="3"/>
  <c r="D276" i="3" s="1"/>
  <c r="T275" i="3"/>
  <c r="S275" i="3"/>
  <c r="R275" i="3"/>
  <c r="C275" i="3"/>
  <c r="D275" i="3" s="1"/>
  <c r="T274" i="3"/>
  <c r="S274" i="3"/>
  <c r="R274" i="3"/>
  <c r="C274" i="3"/>
  <c r="D274" i="3" s="1"/>
  <c r="T273" i="3"/>
  <c r="S273" i="3"/>
  <c r="R273" i="3"/>
  <c r="C273" i="3"/>
  <c r="D273" i="3" s="1"/>
  <c r="T272" i="3"/>
  <c r="S272" i="3"/>
  <c r="R272" i="3"/>
  <c r="C272" i="3"/>
  <c r="D272" i="3" s="1"/>
  <c r="T271" i="3"/>
  <c r="S271" i="3"/>
  <c r="R271" i="3"/>
  <c r="C271" i="3"/>
  <c r="D271" i="3" s="1"/>
  <c r="T270" i="3"/>
  <c r="S270" i="3"/>
  <c r="R270" i="3"/>
  <c r="C270" i="3"/>
  <c r="D270" i="3" s="1"/>
  <c r="T269" i="3"/>
  <c r="S269" i="3"/>
  <c r="R269" i="3"/>
  <c r="C269" i="3"/>
  <c r="D269" i="3" s="1"/>
  <c r="T268" i="3"/>
  <c r="S268" i="3"/>
  <c r="R268" i="3"/>
  <c r="C268" i="3"/>
  <c r="D268" i="3" s="1"/>
  <c r="T267" i="3"/>
  <c r="S267" i="3"/>
  <c r="R267" i="3"/>
  <c r="C267" i="3"/>
  <c r="D267" i="3" s="1"/>
  <c r="T266" i="3"/>
  <c r="S266" i="3"/>
  <c r="R266" i="3"/>
  <c r="C266" i="3"/>
  <c r="D266" i="3" s="1"/>
  <c r="T265" i="3"/>
  <c r="S265" i="3"/>
  <c r="R265" i="3"/>
  <c r="C265" i="3"/>
  <c r="D265" i="3" s="1"/>
  <c r="T264" i="3"/>
  <c r="S264" i="3"/>
  <c r="R264" i="3"/>
  <c r="C264" i="3"/>
  <c r="D264" i="3" s="1"/>
  <c r="T263" i="3"/>
  <c r="S263" i="3"/>
  <c r="R263" i="3"/>
  <c r="C263" i="3"/>
  <c r="D263" i="3" s="1"/>
  <c r="T262" i="3"/>
  <c r="S262" i="3"/>
  <c r="R262" i="3"/>
  <c r="C262" i="3"/>
  <c r="D262" i="3" s="1"/>
  <c r="T261" i="3"/>
  <c r="S261" i="3"/>
  <c r="R261" i="3"/>
  <c r="C261" i="3"/>
  <c r="D261" i="3" s="1"/>
  <c r="T260" i="3"/>
  <c r="S260" i="3"/>
  <c r="R260" i="3"/>
  <c r="C260" i="3"/>
  <c r="D260" i="3" s="1"/>
  <c r="T259" i="3"/>
  <c r="S259" i="3"/>
  <c r="R259" i="3"/>
  <c r="C259" i="3"/>
  <c r="D259" i="3" s="1"/>
  <c r="T258" i="3"/>
  <c r="S258" i="3"/>
  <c r="R258" i="3"/>
  <c r="C258" i="3"/>
  <c r="D258" i="3" s="1"/>
  <c r="T257" i="3"/>
  <c r="S257" i="3"/>
  <c r="R257" i="3"/>
  <c r="C257" i="3"/>
  <c r="D257" i="3" s="1"/>
  <c r="T256" i="3"/>
  <c r="S256" i="3"/>
  <c r="R256" i="3"/>
  <c r="C256" i="3"/>
  <c r="D256" i="3" s="1"/>
  <c r="T255" i="3"/>
  <c r="S255" i="3"/>
  <c r="R255" i="3"/>
  <c r="C255" i="3"/>
  <c r="D255" i="3" s="1"/>
  <c r="T254" i="3"/>
  <c r="S254" i="3"/>
  <c r="R254" i="3"/>
  <c r="C254" i="3"/>
  <c r="D254" i="3" s="1"/>
  <c r="T253" i="3"/>
  <c r="S253" i="3"/>
  <c r="R253" i="3"/>
  <c r="C253" i="3"/>
  <c r="D253" i="3" s="1"/>
  <c r="T252" i="3"/>
  <c r="S252" i="3"/>
  <c r="R252" i="3"/>
  <c r="C252" i="3"/>
  <c r="D252" i="3" s="1"/>
  <c r="T251" i="3"/>
  <c r="S251" i="3"/>
  <c r="R251" i="3"/>
  <c r="C251" i="3"/>
  <c r="D251" i="3" s="1"/>
  <c r="T250" i="3"/>
  <c r="S250" i="3"/>
  <c r="R250" i="3"/>
  <c r="C250" i="3"/>
  <c r="D250" i="3" s="1"/>
  <c r="T249" i="3"/>
  <c r="S249" i="3"/>
  <c r="R249" i="3"/>
  <c r="C249" i="3"/>
  <c r="D249" i="3" s="1"/>
  <c r="T248" i="3"/>
  <c r="S248" i="3"/>
  <c r="R248" i="3"/>
  <c r="C248" i="3"/>
  <c r="D248" i="3" s="1"/>
  <c r="T247" i="3"/>
  <c r="S247" i="3"/>
  <c r="R247" i="3"/>
  <c r="C247" i="3"/>
  <c r="D247" i="3" s="1"/>
  <c r="T246" i="3"/>
  <c r="S246" i="3"/>
  <c r="R246" i="3"/>
  <c r="C246" i="3"/>
  <c r="D246" i="3" s="1"/>
  <c r="T245" i="3"/>
  <c r="S245" i="3"/>
  <c r="R245" i="3"/>
  <c r="C245" i="3"/>
  <c r="D245" i="3" s="1"/>
  <c r="T244" i="3"/>
  <c r="S244" i="3"/>
  <c r="R244" i="3"/>
  <c r="C244" i="3"/>
  <c r="D244" i="3" s="1"/>
  <c r="T243" i="3"/>
  <c r="S243" i="3"/>
  <c r="R243" i="3"/>
  <c r="C243" i="3"/>
  <c r="D243" i="3" s="1"/>
  <c r="T242" i="3"/>
  <c r="S242" i="3"/>
  <c r="R242" i="3"/>
  <c r="C242" i="3"/>
  <c r="D242" i="3" s="1"/>
  <c r="T241" i="3"/>
  <c r="S241" i="3"/>
  <c r="R241" i="3"/>
  <c r="C241" i="3"/>
  <c r="D241" i="3" s="1"/>
  <c r="T240" i="3"/>
  <c r="S240" i="3"/>
  <c r="R240" i="3"/>
  <c r="C240" i="3"/>
  <c r="D240" i="3" s="1"/>
  <c r="T239" i="3"/>
  <c r="S239" i="3"/>
  <c r="R239" i="3"/>
  <c r="C239" i="3"/>
  <c r="D239" i="3" s="1"/>
  <c r="T238" i="3"/>
  <c r="S238" i="3"/>
  <c r="R238" i="3"/>
  <c r="C238" i="3"/>
  <c r="D238" i="3" s="1"/>
  <c r="T237" i="3"/>
  <c r="S237" i="3"/>
  <c r="R237" i="3"/>
  <c r="C237" i="3"/>
  <c r="D237" i="3" s="1"/>
  <c r="T236" i="3"/>
  <c r="S236" i="3"/>
  <c r="R236" i="3"/>
  <c r="C236" i="3"/>
  <c r="D236" i="3" s="1"/>
  <c r="T235" i="3"/>
  <c r="S235" i="3"/>
  <c r="R235" i="3"/>
  <c r="C235" i="3"/>
  <c r="D235" i="3" s="1"/>
  <c r="T234" i="3"/>
  <c r="S234" i="3"/>
  <c r="R234" i="3"/>
  <c r="C234" i="3"/>
  <c r="D234" i="3" s="1"/>
  <c r="T233" i="3"/>
  <c r="S233" i="3"/>
  <c r="R233" i="3"/>
  <c r="C233" i="3"/>
  <c r="D233" i="3" s="1"/>
  <c r="T232" i="3"/>
  <c r="S232" i="3"/>
  <c r="R232" i="3"/>
  <c r="C232" i="3"/>
  <c r="D232" i="3" s="1"/>
  <c r="T231" i="3"/>
  <c r="S231" i="3"/>
  <c r="R231" i="3"/>
  <c r="C231" i="3"/>
  <c r="D231" i="3" s="1"/>
  <c r="T230" i="3"/>
  <c r="S230" i="3"/>
  <c r="R230" i="3"/>
  <c r="C230" i="3"/>
  <c r="D230" i="3" s="1"/>
  <c r="T229" i="3"/>
  <c r="S229" i="3"/>
  <c r="R229" i="3"/>
  <c r="C229" i="3"/>
  <c r="D229" i="3" s="1"/>
  <c r="T228" i="3"/>
  <c r="S228" i="3"/>
  <c r="R228" i="3"/>
  <c r="C228" i="3"/>
  <c r="D228" i="3" s="1"/>
  <c r="T227" i="3"/>
  <c r="S227" i="3"/>
  <c r="R227" i="3"/>
  <c r="C227" i="3"/>
  <c r="D227" i="3" s="1"/>
  <c r="T226" i="3"/>
  <c r="S226" i="3"/>
  <c r="R226" i="3"/>
  <c r="C226" i="3"/>
  <c r="D226" i="3" s="1"/>
  <c r="T225" i="3"/>
  <c r="S225" i="3"/>
  <c r="R225" i="3"/>
  <c r="C225" i="3"/>
  <c r="D225" i="3" s="1"/>
  <c r="T224" i="3"/>
  <c r="S224" i="3"/>
  <c r="R224" i="3"/>
  <c r="C224" i="3"/>
  <c r="D224" i="3" s="1"/>
  <c r="T223" i="3"/>
  <c r="S223" i="3"/>
  <c r="R223" i="3"/>
  <c r="C223" i="3"/>
  <c r="D223" i="3" s="1"/>
  <c r="T222" i="3"/>
  <c r="S222" i="3"/>
  <c r="R222" i="3"/>
  <c r="C222" i="3"/>
  <c r="D222" i="3" s="1"/>
  <c r="T221" i="3"/>
  <c r="S221" i="3"/>
  <c r="R221" i="3"/>
  <c r="C221" i="3"/>
  <c r="D221" i="3" s="1"/>
  <c r="T220" i="3"/>
  <c r="S220" i="3"/>
  <c r="R220" i="3"/>
  <c r="C220" i="3"/>
  <c r="D220" i="3" s="1"/>
  <c r="T219" i="3"/>
  <c r="S219" i="3"/>
  <c r="R219" i="3"/>
  <c r="C219" i="3"/>
  <c r="D219" i="3" s="1"/>
  <c r="T218" i="3"/>
  <c r="S218" i="3"/>
  <c r="R218" i="3"/>
  <c r="C218" i="3"/>
  <c r="D218" i="3" s="1"/>
  <c r="T217" i="3"/>
  <c r="S217" i="3"/>
  <c r="R217" i="3"/>
  <c r="C217" i="3"/>
  <c r="D217" i="3" s="1"/>
  <c r="T216" i="3"/>
  <c r="S216" i="3"/>
  <c r="R216" i="3"/>
  <c r="C216" i="3"/>
  <c r="D216" i="3" s="1"/>
  <c r="T215" i="3"/>
  <c r="S215" i="3"/>
  <c r="R215" i="3"/>
  <c r="C215" i="3"/>
  <c r="D215" i="3" s="1"/>
  <c r="T214" i="3"/>
  <c r="S214" i="3"/>
  <c r="R214" i="3"/>
  <c r="C214" i="3"/>
  <c r="D214" i="3" s="1"/>
  <c r="T213" i="3"/>
  <c r="S213" i="3"/>
  <c r="R213" i="3"/>
  <c r="C213" i="3"/>
  <c r="D213" i="3" s="1"/>
  <c r="T212" i="3"/>
  <c r="S212" i="3"/>
  <c r="R212" i="3"/>
  <c r="C212" i="3"/>
  <c r="D212" i="3" s="1"/>
  <c r="T211" i="3"/>
  <c r="S211" i="3"/>
  <c r="R211" i="3"/>
  <c r="C211" i="3"/>
  <c r="D211" i="3" s="1"/>
  <c r="T210" i="3"/>
  <c r="S210" i="3"/>
  <c r="R210" i="3"/>
  <c r="C210" i="3"/>
  <c r="D210" i="3" s="1"/>
  <c r="T209" i="3"/>
  <c r="S209" i="3"/>
  <c r="R209" i="3"/>
  <c r="C209" i="3"/>
  <c r="D209" i="3" s="1"/>
  <c r="T208" i="3"/>
  <c r="S208" i="3"/>
  <c r="R208" i="3"/>
  <c r="C208" i="3"/>
  <c r="D208" i="3" s="1"/>
  <c r="T207" i="3"/>
  <c r="S207" i="3"/>
  <c r="R207" i="3"/>
  <c r="C207" i="3"/>
  <c r="D207" i="3" s="1"/>
  <c r="T206" i="3"/>
  <c r="S206" i="3"/>
  <c r="R206" i="3"/>
  <c r="C206" i="3"/>
  <c r="D206" i="3" s="1"/>
  <c r="T205" i="3"/>
  <c r="S205" i="3"/>
  <c r="R205" i="3"/>
  <c r="C205" i="3"/>
  <c r="D205" i="3" s="1"/>
  <c r="T204" i="3"/>
  <c r="S204" i="3"/>
  <c r="R204" i="3"/>
  <c r="C204" i="3"/>
  <c r="D204" i="3" s="1"/>
  <c r="T203" i="3"/>
  <c r="S203" i="3"/>
  <c r="R203" i="3"/>
  <c r="C203" i="3"/>
  <c r="D203" i="3" s="1"/>
  <c r="T202" i="3"/>
  <c r="S202" i="3"/>
  <c r="R202" i="3"/>
  <c r="C202" i="3"/>
  <c r="D202" i="3" s="1"/>
  <c r="T201" i="3"/>
  <c r="S201" i="3"/>
  <c r="R201" i="3"/>
  <c r="C201" i="3"/>
  <c r="D201" i="3" s="1"/>
  <c r="T200" i="3"/>
  <c r="S200" i="3"/>
  <c r="R200" i="3"/>
  <c r="C200" i="3"/>
  <c r="D200" i="3" s="1"/>
  <c r="T199" i="3"/>
  <c r="S199" i="3"/>
  <c r="R199" i="3"/>
  <c r="C199" i="3"/>
  <c r="D199" i="3" s="1"/>
  <c r="T198" i="3"/>
  <c r="S198" i="3"/>
  <c r="R198" i="3"/>
  <c r="C198" i="3"/>
  <c r="D198" i="3" s="1"/>
  <c r="T197" i="3"/>
  <c r="S197" i="3"/>
  <c r="R197" i="3"/>
  <c r="C197" i="3"/>
  <c r="D197" i="3" s="1"/>
  <c r="T196" i="3"/>
  <c r="S196" i="3"/>
  <c r="R196" i="3"/>
  <c r="C196" i="3"/>
  <c r="D196" i="3" s="1"/>
  <c r="T195" i="3"/>
  <c r="S195" i="3"/>
  <c r="R195" i="3"/>
  <c r="C195" i="3"/>
  <c r="D195" i="3" s="1"/>
  <c r="T194" i="3"/>
  <c r="S194" i="3"/>
  <c r="R194" i="3"/>
  <c r="C194" i="3"/>
  <c r="D194" i="3" s="1"/>
  <c r="T193" i="3"/>
  <c r="S193" i="3"/>
  <c r="R193" i="3"/>
  <c r="C193" i="3"/>
  <c r="D193" i="3" s="1"/>
  <c r="T192" i="3"/>
  <c r="S192" i="3"/>
  <c r="R192" i="3"/>
  <c r="C192" i="3"/>
  <c r="D192" i="3" s="1"/>
  <c r="T191" i="3"/>
  <c r="S191" i="3"/>
  <c r="R191" i="3"/>
  <c r="C191" i="3"/>
  <c r="D191" i="3" s="1"/>
  <c r="T190" i="3"/>
  <c r="S190" i="3"/>
  <c r="R190" i="3"/>
  <c r="C190" i="3"/>
  <c r="D190" i="3" s="1"/>
  <c r="T189" i="3"/>
  <c r="S189" i="3"/>
  <c r="R189" i="3"/>
  <c r="C189" i="3"/>
  <c r="D189" i="3" s="1"/>
  <c r="T188" i="3"/>
  <c r="S188" i="3"/>
  <c r="R188" i="3"/>
  <c r="C188" i="3"/>
  <c r="D188" i="3" s="1"/>
  <c r="T187" i="3"/>
  <c r="S187" i="3"/>
  <c r="R187" i="3"/>
  <c r="C187" i="3"/>
  <c r="D187" i="3" s="1"/>
  <c r="T186" i="3"/>
  <c r="S186" i="3"/>
  <c r="R186" i="3"/>
  <c r="C186" i="3"/>
  <c r="D186" i="3" s="1"/>
  <c r="T185" i="3"/>
  <c r="S185" i="3"/>
  <c r="R185" i="3"/>
  <c r="C185" i="3"/>
  <c r="D185" i="3" s="1"/>
  <c r="T184" i="3"/>
  <c r="S184" i="3"/>
  <c r="R184" i="3"/>
  <c r="C184" i="3"/>
  <c r="D184" i="3" s="1"/>
  <c r="T183" i="3"/>
  <c r="S183" i="3"/>
  <c r="R183" i="3"/>
  <c r="C183" i="3"/>
  <c r="D183" i="3" s="1"/>
  <c r="T182" i="3"/>
  <c r="S182" i="3"/>
  <c r="R182" i="3"/>
  <c r="C182" i="3"/>
  <c r="D182" i="3" s="1"/>
  <c r="T181" i="3"/>
  <c r="S181" i="3"/>
  <c r="R181" i="3"/>
  <c r="C181" i="3"/>
  <c r="D181" i="3" s="1"/>
  <c r="T180" i="3"/>
  <c r="S180" i="3"/>
  <c r="R180" i="3"/>
  <c r="C180" i="3"/>
  <c r="D180" i="3" s="1"/>
  <c r="T179" i="3"/>
  <c r="S179" i="3"/>
  <c r="R179" i="3"/>
  <c r="C179" i="3"/>
  <c r="D179" i="3" s="1"/>
  <c r="T178" i="3"/>
  <c r="S178" i="3"/>
  <c r="R178" i="3"/>
  <c r="C178" i="3"/>
  <c r="D178" i="3" s="1"/>
  <c r="T177" i="3"/>
  <c r="S177" i="3"/>
  <c r="R177" i="3"/>
  <c r="C177" i="3"/>
  <c r="D177" i="3" s="1"/>
  <c r="T176" i="3"/>
  <c r="S176" i="3"/>
  <c r="R176" i="3"/>
  <c r="C176" i="3"/>
  <c r="D176" i="3" s="1"/>
  <c r="T175" i="3"/>
  <c r="S175" i="3"/>
  <c r="R175" i="3"/>
  <c r="C175" i="3"/>
  <c r="D175" i="3" s="1"/>
  <c r="T174" i="3"/>
  <c r="S174" i="3"/>
  <c r="R174" i="3"/>
  <c r="C174" i="3"/>
  <c r="D174" i="3" s="1"/>
  <c r="T173" i="3"/>
  <c r="S173" i="3"/>
  <c r="R173" i="3"/>
  <c r="C173" i="3"/>
  <c r="D173" i="3" s="1"/>
  <c r="T172" i="3"/>
  <c r="S172" i="3"/>
  <c r="R172" i="3"/>
  <c r="C172" i="3"/>
  <c r="D172" i="3" s="1"/>
  <c r="T171" i="3"/>
  <c r="S171" i="3"/>
  <c r="R171" i="3"/>
  <c r="C171" i="3"/>
  <c r="D171" i="3" s="1"/>
  <c r="T170" i="3"/>
  <c r="S170" i="3"/>
  <c r="R170" i="3"/>
  <c r="C170" i="3"/>
  <c r="D170" i="3" s="1"/>
  <c r="T169" i="3"/>
  <c r="S169" i="3"/>
  <c r="R169" i="3"/>
  <c r="C169" i="3"/>
  <c r="D169" i="3" s="1"/>
  <c r="T168" i="3"/>
  <c r="S168" i="3"/>
  <c r="R168" i="3"/>
  <c r="C168" i="3"/>
  <c r="D168" i="3" s="1"/>
  <c r="T167" i="3"/>
  <c r="S167" i="3"/>
  <c r="R167" i="3"/>
  <c r="C167" i="3"/>
  <c r="D167" i="3" s="1"/>
  <c r="T166" i="3"/>
  <c r="S166" i="3"/>
  <c r="R166" i="3"/>
  <c r="C166" i="3"/>
  <c r="D166" i="3" s="1"/>
  <c r="T165" i="3"/>
  <c r="S165" i="3"/>
  <c r="R165" i="3"/>
  <c r="C165" i="3"/>
  <c r="D165" i="3" s="1"/>
  <c r="T164" i="3"/>
  <c r="S164" i="3"/>
  <c r="R164" i="3"/>
  <c r="C164" i="3"/>
  <c r="D164" i="3" s="1"/>
  <c r="T163" i="3"/>
  <c r="S163" i="3"/>
  <c r="R163" i="3"/>
  <c r="C163" i="3"/>
  <c r="D163" i="3" s="1"/>
  <c r="T162" i="3"/>
  <c r="S162" i="3"/>
  <c r="R162" i="3"/>
  <c r="C162" i="3"/>
  <c r="D162" i="3" s="1"/>
  <c r="T161" i="3"/>
  <c r="S161" i="3"/>
  <c r="R161" i="3"/>
  <c r="C161" i="3"/>
  <c r="D161" i="3" s="1"/>
  <c r="T160" i="3"/>
  <c r="S160" i="3"/>
  <c r="R160" i="3"/>
  <c r="C160" i="3"/>
  <c r="D160" i="3" s="1"/>
  <c r="T159" i="3"/>
  <c r="S159" i="3"/>
  <c r="R159" i="3"/>
  <c r="C159" i="3"/>
  <c r="D159" i="3" s="1"/>
  <c r="T158" i="3"/>
  <c r="S158" i="3"/>
  <c r="R158" i="3"/>
  <c r="C158" i="3"/>
  <c r="D158" i="3" s="1"/>
  <c r="T157" i="3"/>
  <c r="S157" i="3"/>
  <c r="R157" i="3"/>
  <c r="C157" i="3"/>
  <c r="D157" i="3" s="1"/>
  <c r="T156" i="3"/>
  <c r="S156" i="3"/>
  <c r="R156" i="3"/>
  <c r="C156" i="3"/>
  <c r="D156" i="3" s="1"/>
  <c r="T155" i="3"/>
  <c r="S155" i="3"/>
  <c r="R155" i="3"/>
  <c r="C155" i="3"/>
  <c r="D155" i="3" s="1"/>
  <c r="T154" i="3"/>
  <c r="S154" i="3"/>
  <c r="R154" i="3"/>
  <c r="C154" i="3"/>
  <c r="D154" i="3" s="1"/>
  <c r="T153" i="3"/>
  <c r="S153" i="3"/>
  <c r="R153" i="3"/>
  <c r="C153" i="3"/>
  <c r="D153" i="3" s="1"/>
  <c r="T152" i="3"/>
  <c r="S152" i="3"/>
  <c r="R152" i="3"/>
  <c r="C152" i="3"/>
  <c r="D152" i="3" s="1"/>
  <c r="T151" i="3"/>
  <c r="S151" i="3"/>
  <c r="R151" i="3"/>
  <c r="C151" i="3"/>
  <c r="D151" i="3" s="1"/>
  <c r="T150" i="3"/>
  <c r="S150" i="3"/>
  <c r="R150" i="3"/>
  <c r="C150" i="3"/>
  <c r="D150" i="3" s="1"/>
  <c r="T149" i="3"/>
  <c r="S149" i="3"/>
  <c r="R149" i="3"/>
  <c r="C149" i="3"/>
  <c r="D149" i="3" s="1"/>
  <c r="T148" i="3"/>
  <c r="S148" i="3"/>
  <c r="R148" i="3"/>
  <c r="C148" i="3"/>
  <c r="D148" i="3" s="1"/>
  <c r="T147" i="3"/>
  <c r="S147" i="3"/>
  <c r="R147" i="3"/>
  <c r="C147" i="3"/>
  <c r="D147" i="3" s="1"/>
  <c r="T146" i="3"/>
  <c r="S146" i="3"/>
  <c r="R146" i="3"/>
  <c r="C146" i="3"/>
  <c r="D146" i="3" s="1"/>
  <c r="T145" i="3"/>
  <c r="S145" i="3"/>
  <c r="R145" i="3"/>
  <c r="C145" i="3"/>
  <c r="D145" i="3" s="1"/>
  <c r="T144" i="3"/>
  <c r="S144" i="3"/>
  <c r="R144" i="3"/>
  <c r="C144" i="3"/>
  <c r="D144" i="3" s="1"/>
  <c r="T143" i="3"/>
  <c r="S143" i="3"/>
  <c r="R143" i="3"/>
  <c r="C143" i="3"/>
  <c r="D143" i="3" s="1"/>
  <c r="T142" i="3"/>
  <c r="S142" i="3"/>
  <c r="R142" i="3"/>
  <c r="C142" i="3"/>
  <c r="D142" i="3" s="1"/>
  <c r="T141" i="3"/>
  <c r="S141" i="3"/>
  <c r="R141" i="3"/>
  <c r="C141" i="3"/>
  <c r="D141" i="3" s="1"/>
  <c r="T140" i="3"/>
  <c r="S140" i="3"/>
  <c r="R140" i="3"/>
  <c r="C140" i="3"/>
  <c r="D140" i="3" s="1"/>
  <c r="T139" i="3"/>
  <c r="S139" i="3"/>
  <c r="R139" i="3"/>
  <c r="C139" i="3"/>
  <c r="D139" i="3" s="1"/>
  <c r="T138" i="3"/>
  <c r="S138" i="3"/>
  <c r="R138" i="3"/>
  <c r="C138" i="3"/>
  <c r="D138" i="3" s="1"/>
  <c r="T137" i="3"/>
  <c r="S137" i="3"/>
  <c r="R137" i="3"/>
  <c r="C137" i="3"/>
  <c r="D137" i="3" s="1"/>
  <c r="T136" i="3"/>
  <c r="S136" i="3"/>
  <c r="R136" i="3"/>
  <c r="C136" i="3"/>
  <c r="D136" i="3" s="1"/>
  <c r="T135" i="3"/>
  <c r="S135" i="3"/>
  <c r="R135" i="3"/>
  <c r="C135" i="3"/>
  <c r="D135" i="3" s="1"/>
  <c r="T134" i="3"/>
  <c r="S134" i="3"/>
  <c r="R134" i="3"/>
  <c r="C134" i="3"/>
  <c r="D134" i="3" s="1"/>
  <c r="T133" i="3"/>
  <c r="S133" i="3"/>
  <c r="R133" i="3"/>
  <c r="C133" i="3"/>
  <c r="D133" i="3" s="1"/>
  <c r="T132" i="3"/>
  <c r="S132" i="3"/>
  <c r="R132" i="3"/>
  <c r="C132" i="3"/>
  <c r="D132" i="3" s="1"/>
  <c r="T131" i="3"/>
  <c r="S131" i="3"/>
  <c r="R131" i="3"/>
  <c r="C131" i="3"/>
  <c r="D131" i="3" s="1"/>
  <c r="T130" i="3"/>
  <c r="S130" i="3"/>
  <c r="R130" i="3"/>
  <c r="C130" i="3"/>
  <c r="D130" i="3" s="1"/>
  <c r="T129" i="3"/>
  <c r="S129" i="3"/>
  <c r="R129" i="3"/>
  <c r="C129" i="3"/>
  <c r="D129" i="3" s="1"/>
  <c r="T128" i="3"/>
  <c r="S128" i="3"/>
  <c r="R128" i="3"/>
  <c r="C128" i="3"/>
  <c r="D128" i="3" s="1"/>
  <c r="T127" i="3"/>
  <c r="S127" i="3"/>
  <c r="R127" i="3"/>
  <c r="C127" i="3"/>
  <c r="D127" i="3" s="1"/>
  <c r="T126" i="3"/>
  <c r="S126" i="3"/>
  <c r="R126" i="3"/>
  <c r="C126" i="3"/>
  <c r="D126" i="3" s="1"/>
  <c r="T125" i="3"/>
  <c r="S125" i="3"/>
  <c r="R125" i="3"/>
  <c r="C125" i="3"/>
  <c r="D125" i="3" s="1"/>
  <c r="T124" i="3"/>
  <c r="S124" i="3"/>
  <c r="R124" i="3"/>
  <c r="C124" i="3"/>
  <c r="D124" i="3" s="1"/>
  <c r="T123" i="3"/>
  <c r="S123" i="3"/>
  <c r="R123" i="3"/>
  <c r="C123" i="3"/>
  <c r="D123" i="3" s="1"/>
  <c r="T122" i="3"/>
  <c r="S122" i="3"/>
  <c r="R122" i="3"/>
  <c r="C122" i="3"/>
  <c r="D122" i="3" s="1"/>
  <c r="T121" i="3"/>
  <c r="S121" i="3"/>
  <c r="R121" i="3"/>
  <c r="C121" i="3"/>
  <c r="D121" i="3" s="1"/>
  <c r="T120" i="3"/>
  <c r="S120" i="3"/>
  <c r="R120" i="3"/>
  <c r="C120" i="3"/>
  <c r="D120" i="3" s="1"/>
  <c r="T119" i="3"/>
  <c r="S119" i="3"/>
  <c r="R119" i="3"/>
  <c r="C119" i="3"/>
  <c r="D119" i="3" s="1"/>
  <c r="T118" i="3"/>
  <c r="S118" i="3"/>
  <c r="R118" i="3"/>
  <c r="C118" i="3"/>
  <c r="D118" i="3" s="1"/>
  <c r="T117" i="3"/>
  <c r="S117" i="3"/>
  <c r="R117" i="3"/>
  <c r="C117" i="3"/>
  <c r="D117" i="3" s="1"/>
  <c r="T116" i="3"/>
  <c r="S116" i="3"/>
  <c r="R116" i="3"/>
  <c r="C116" i="3"/>
  <c r="D116" i="3" s="1"/>
  <c r="T115" i="3"/>
  <c r="S115" i="3"/>
  <c r="R115" i="3"/>
  <c r="C115" i="3"/>
  <c r="D115" i="3" s="1"/>
  <c r="T114" i="3"/>
  <c r="S114" i="3"/>
  <c r="R114" i="3"/>
  <c r="C114" i="3"/>
  <c r="D114" i="3" s="1"/>
  <c r="T113" i="3"/>
  <c r="S113" i="3"/>
  <c r="R113" i="3"/>
  <c r="C113" i="3"/>
  <c r="D113" i="3" s="1"/>
  <c r="T112" i="3"/>
  <c r="S112" i="3"/>
  <c r="R112" i="3"/>
  <c r="C112" i="3"/>
  <c r="D112" i="3" s="1"/>
  <c r="T111" i="3"/>
  <c r="S111" i="3"/>
  <c r="R111" i="3"/>
  <c r="C111" i="3"/>
  <c r="D111" i="3" s="1"/>
  <c r="T110" i="3"/>
  <c r="S110" i="3"/>
  <c r="R110" i="3"/>
  <c r="C110" i="3"/>
  <c r="D110" i="3" s="1"/>
  <c r="T109" i="3"/>
  <c r="S109" i="3"/>
  <c r="R109" i="3"/>
  <c r="C109" i="3"/>
  <c r="D109" i="3" s="1"/>
  <c r="T108" i="3"/>
  <c r="S108" i="3"/>
  <c r="R108" i="3"/>
  <c r="C108" i="3"/>
  <c r="D108" i="3" s="1"/>
  <c r="T107" i="3"/>
  <c r="S107" i="3"/>
  <c r="R107" i="3"/>
  <c r="C107" i="3"/>
  <c r="D107" i="3" s="1"/>
  <c r="T106" i="3"/>
  <c r="S106" i="3"/>
  <c r="R106" i="3"/>
  <c r="C106" i="3"/>
  <c r="D106" i="3" s="1"/>
  <c r="T105" i="3"/>
  <c r="S105" i="3"/>
  <c r="R105" i="3"/>
  <c r="C105" i="3"/>
  <c r="D105" i="3" s="1"/>
  <c r="T104" i="3"/>
  <c r="S104" i="3"/>
  <c r="R104" i="3"/>
  <c r="C104" i="3"/>
  <c r="D104" i="3" s="1"/>
  <c r="T103" i="3"/>
  <c r="S103" i="3"/>
  <c r="R103" i="3"/>
  <c r="C103" i="3"/>
  <c r="D103" i="3" s="1"/>
  <c r="T102" i="3"/>
  <c r="S102" i="3"/>
  <c r="R102" i="3"/>
  <c r="C102" i="3"/>
  <c r="D102" i="3" s="1"/>
  <c r="T101" i="3"/>
  <c r="S101" i="3"/>
  <c r="R101" i="3"/>
  <c r="C101" i="3"/>
  <c r="D101" i="3" s="1"/>
  <c r="T100" i="3"/>
  <c r="S100" i="3"/>
  <c r="R100" i="3"/>
  <c r="C100" i="3"/>
  <c r="D100" i="3" s="1"/>
  <c r="T99" i="3"/>
  <c r="S99" i="3"/>
  <c r="R99" i="3"/>
  <c r="C99" i="3"/>
  <c r="D99" i="3" s="1"/>
  <c r="T98" i="3"/>
  <c r="S98" i="3"/>
  <c r="R98" i="3"/>
  <c r="C98" i="3"/>
  <c r="D98" i="3" s="1"/>
  <c r="T97" i="3"/>
  <c r="S97" i="3"/>
  <c r="R97" i="3"/>
  <c r="C97" i="3"/>
  <c r="D97" i="3" s="1"/>
  <c r="T96" i="3"/>
  <c r="S96" i="3"/>
  <c r="R96" i="3"/>
  <c r="C96" i="3"/>
  <c r="D96" i="3" s="1"/>
  <c r="T95" i="3"/>
  <c r="S95" i="3"/>
  <c r="R95" i="3"/>
  <c r="C95" i="3"/>
  <c r="D95" i="3" s="1"/>
  <c r="T94" i="3"/>
  <c r="S94" i="3"/>
  <c r="R94" i="3"/>
  <c r="C94" i="3"/>
  <c r="D94" i="3" s="1"/>
  <c r="T93" i="3"/>
  <c r="S93" i="3"/>
  <c r="R93" i="3"/>
  <c r="C93" i="3"/>
  <c r="D93" i="3" s="1"/>
  <c r="T92" i="3"/>
  <c r="S92" i="3"/>
  <c r="R92" i="3"/>
  <c r="C92" i="3"/>
  <c r="D92" i="3" s="1"/>
  <c r="T91" i="3"/>
  <c r="S91" i="3"/>
  <c r="R91" i="3"/>
  <c r="C91" i="3"/>
  <c r="D91" i="3" s="1"/>
  <c r="T90" i="3"/>
  <c r="S90" i="3"/>
  <c r="R90" i="3"/>
  <c r="C90" i="3"/>
  <c r="D90" i="3" s="1"/>
  <c r="T89" i="3"/>
  <c r="S89" i="3"/>
  <c r="R89" i="3"/>
  <c r="C89" i="3"/>
  <c r="D89" i="3" s="1"/>
  <c r="T88" i="3"/>
  <c r="S88" i="3"/>
  <c r="R88" i="3"/>
  <c r="C88" i="3"/>
  <c r="D88" i="3" s="1"/>
  <c r="T87" i="3"/>
  <c r="S87" i="3"/>
  <c r="R87" i="3"/>
  <c r="C87" i="3"/>
  <c r="D87" i="3" s="1"/>
  <c r="T86" i="3"/>
  <c r="S86" i="3"/>
  <c r="R86" i="3"/>
  <c r="C86" i="3"/>
  <c r="D86" i="3" s="1"/>
  <c r="T85" i="3"/>
  <c r="S85" i="3"/>
  <c r="R85" i="3"/>
  <c r="C85" i="3"/>
  <c r="D85" i="3" s="1"/>
  <c r="T84" i="3"/>
  <c r="S84" i="3"/>
  <c r="R84" i="3"/>
  <c r="C84" i="3"/>
  <c r="D84" i="3" s="1"/>
  <c r="T83" i="3"/>
  <c r="S83" i="3"/>
  <c r="R83" i="3"/>
  <c r="C83" i="3"/>
  <c r="D83" i="3" s="1"/>
  <c r="T82" i="3"/>
  <c r="S82" i="3"/>
  <c r="R82" i="3"/>
  <c r="C82" i="3"/>
  <c r="D82" i="3" s="1"/>
  <c r="T81" i="3"/>
  <c r="S81" i="3"/>
  <c r="R81" i="3"/>
  <c r="C81" i="3"/>
  <c r="D81" i="3" s="1"/>
  <c r="T80" i="3"/>
  <c r="S80" i="3"/>
  <c r="R80" i="3"/>
  <c r="C80" i="3"/>
  <c r="D80" i="3" s="1"/>
  <c r="T79" i="3"/>
  <c r="S79" i="3"/>
  <c r="R79" i="3"/>
  <c r="C79" i="3"/>
  <c r="D79" i="3" s="1"/>
  <c r="T78" i="3"/>
  <c r="S78" i="3"/>
  <c r="R78" i="3"/>
  <c r="C78" i="3"/>
  <c r="D78" i="3" s="1"/>
  <c r="T77" i="3"/>
  <c r="S77" i="3"/>
  <c r="R77" i="3"/>
  <c r="C77" i="3"/>
  <c r="D77" i="3" s="1"/>
  <c r="T76" i="3"/>
  <c r="S76" i="3"/>
  <c r="R76" i="3"/>
  <c r="C76" i="3"/>
  <c r="D76" i="3" s="1"/>
  <c r="T75" i="3"/>
  <c r="S75" i="3"/>
  <c r="R75" i="3"/>
  <c r="C75" i="3"/>
  <c r="D75" i="3" s="1"/>
  <c r="T74" i="3"/>
  <c r="S74" i="3"/>
  <c r="R74" i="3"/>
  <c r="C74" i="3"/>
  <c r="D74" i="3" s="1"/>
  <c r="T73" i="3"/>
  <c r="S73" i="3"/>
  <c r="R73" i="3"/>
  <c r="C73" i="3"/>
  <c r="D73" i="3" s="1"/>
  <c r="T72" i="3"/>
  <c r="S72" i="3"/>
  <c r="R72" i="3"/>
  <c r="C72" i="3"/>
  <c r="D72" i="3" s="1"/>
  <c r="T71" i="3"/>
  <c r="S71" i="3"/>
  <c r="R71" i="3"/>
  <c r="C71" i="3"/>
  <c r="D71" i="3" s="1"/>
  <c r="T70" i="3"/>
  <c r="S70" i="3"/>
  <c r="R70" i="3"/>
  <c r="C70" i="3"/>
  <c r="D70" i="3" s="1"/>
  <c r="T69" i="3"/>
  <c r="S69" i="3"/>
  <c r="R69" i="3"/>
  <c r="C69" i="3"/>
  <c r="D69" i="3" s="1"/>
  <c r="T68" i="3"/>
  <c r="S68" i="3"/>
  <c r="R68" i="3"/>
  <c r="C68" i="3"/>
  <c r="D68" i="3" s="1"/>
  <c r="T67" i="3"/>
  <c r="S67" i="3"/>
  <c r="R67" i="3"/>
  <c r="C67" i="3"/>
  <c r="D67" i="3" s="1"/>
  <c r="T66" i="3"/>
  <c r="S66" i="3"/>
  <c r="R66" i="3"/>
  <c r="C66" i="3"/>
  <c r="D66" i="3" s="1"/>
  <c r="T65" i="3"/>
  <c r="S65" i="3"/>
  <c r="R65" i="3"/>
  <c r="C65" i="3"/>
  <c r="D65" i="3" s="1"/>
  <c r="T64" i="3"/>
  <c r="S64" i="3"/>
  <c r="R64" i="3"/>
  <c r="C64" i="3"/>
  <c r="D64" i="3" s="1"/>
  <c r="T63" i="3"/>
  <c r="S63" i="3"/>
  <c r="R63" i="3"/>
  <c r="C63" i="3"/>
  <c r="D63" i="3" s="1"/>
  <c r="T62" i="3"/>
  <c r="S62" i="3"/>
  <c r="R62" i="3"/>
  <c r="C62" i="3"/>
  <c r="D62" i="3" s="1"/>
  <c r="T61" i="3"/>
  <c r="S61" i="3"/>
  <c r="R61" i="3"/>
  <c r="C61" i="3"/>
  <c r="D61" i="3" s="1"/>
  <c r="T60" i="3"/>
  <c r="S60" i="3"/>
  <c r="R60" i="3"/>
  <c r="C60" i="3"/>
  <c r="D60" i="3" s="1"/>
  <c r="T59" i="3"/>
  <c r="S59" i="3"/>
  <c r="R59" i="3"/>
  <c r="C59" i="3"/>
  <c r="D59" i="3" s="1"/>
  <c r="T58" i="3"/>
  <c r="S58" i="3"/>
  <c r="R58" i="3"/>
  <c r="C58" i="3"/>
  <c r="D58" i="3" s="1"/>
  <c r="T57" i="3"/>
  <c r="S57" i="3"/>
  <c r="R57" i="3"/>
  <c r="C57" i="3"/>
  <c r="D57" i="3" s="1"/>
  <c r="T56" i="3"/>
  <c r="S56" i="3"/>
  <c r="R56" i="3"/>
  <c r="C56" i="3"/>
  <c r="D56" i="3" s="1"/>
  <c r="T55" i="3"/>
  <c r="S55" i="3"/>
  <c r="R55" i="3"/>
  <c r="C55" i="3"/>
  <c r="D55" i="3" s="1"/>
  <c r="T54" i="3"/>
  <c r="S54" i="3"/>
  <c r="R54" i="3"/>
  <c r="C54" i="3"/>
  <c r="D54" i="3" s="1"/>
  <c r="T53" i="3"/>
  <c r="S53" i="3"/>
  <c r="R53" i="3"/>
  <c r="C53" i="3"/>
  <c r="D53" i="3" s="1"/>
  <c r="T52" i="3"/>
  <c r="S52" i="3"/>
  <c r="R52" i="3"/>
  <c r="C52" i="3"/>
  <c r="D52" i="3" s="1"/>
  <c r="T51" i="3"/>
  <c r="S51" i="3"/>
  <c r="R51" i="3"/>
  <c r="C51" i="3"/>
  <c r="D51" i="3" s="1"/>
  <c r="T50" i="3"/>
  <c r="S50" i="3"/>
  <c r="R50" i="3"/>
  <c r="C50" i="3"/>
  <c r="D50" i="3" s="1"/>
  <c r="T49" i="3"/>
  <c r="S49" i="3"/>
  <c r="R49" i="3"/>
  <c r="C49" i="3"/>
  <c r="D49" i="3" s="1"/>
  <c r="T48" i="3"/>
  <c r="S48" i="3"/>
  <c r="R48" i="3"/>
  <c r="C48" i="3"/>
  <c r="D48" i="3" s="1"/>
  <c r="T47" i="3"/>
  <c r="S47" i="3"/>
  <c r="R47" i="3"/>
  <c r="C47" i="3"/>
  <c r="D47" i="3" s="1"/>
  <c r="T46" i="3"/>
  <c r="S46" i="3"/>
  <c r="R46" i="3"/>
  <c r="C46" i="3"/>
  <c r="D46" i="3" s="1"/>
  <c r="T45" i="3"/>
  <c r="S45" i="3"/>
  <c r="R45" i="3"/>
  <c r="C45" i="3"/>
  <c r="D45" i="3" s="1"/>
  <c r="T44" i="3"/>
  <c r="S44" i="3"/>
  <c r="R44" i="3"/>
  <c r="C44" i="3"/>
  <c r="D44" i="3" s="1"/>
  <c r="T43" i="3"/>
  <c r="S43" i="3"/>
  <c r="R43" i="3"/>
  <c r="C43" i="3"/>
  <c r="D43" i="3" s="1"/>
  <c r="T42" i="3"/>
  <c r="S42" i="3"/>
  <c r="R42" i="3"/>
  <c r="C42" i="3"/>
  <c r="D42" i="3" s="1"/>
  <c r="T41" i="3"/>
  <c r="S41" i="3"/>
  <c r="R41" i="3"/>
  <c r="C41" i="3"/>
  <c r="D41" i="3" s="1"/>
  <c r="T40" i="3"/>
  <c r="S40" i="3"/>
  <c r="R40" i="3"/>
  <c r="C40" i="3"/>
  <c r="D40" i="3" s="1"/>
  <c r="T39" i="3"/>
  <c r="S39" i="3"/>
  <c r="R39" i="3"/>
  <c r="C39" i="3"/>
  <c r="D39" i="3" s="1"/>
  <c r="T38" i="3"/>
  <c r="S38" i="3"/>
  <c r="R38" i="3"/>
  <c r="C38" i="3"/>
  <c r="D38" i="3" s="1"/>
  <c r="T37" i="3"/>
  <c r="S37" i="3"/>
  <c r="R37" i="3"/>
  <c r="C37" i="3"/>
  <c r="D37" i="3" s="1"/>
  <c r="T36" i="3"/>
  <c r="S36" i="3"/>
  <c r="R36" i="3"/>
  <c r="C36" i="3"/>
  <c r="D36" i="3" s="1"/>
  <c r="T35" i="3"/>
  <c r="S35" i="3"/>
  <c r="R35" i="3"/>
  <c r="C35" i="3"/>
  <c r="D35" i="3" s="1"/>
  <c r="T34" i="3"/>
  <c r="S34" i="3"/>
  <c r="R34" i="3"/>
  <c r="C34" i="3"/>
  <c r="D34" i="3" s="1"/>
  <c r="T33" i="3"/>
  <c r="S33" i="3"/>
  <c r="R33" i="3"/>
  <c r="C33" i="3"/>
  <c r="D33" i="3" s="1"/>
  <c r="T32" i="3"/>
  <c r="S32" i="3"/>
  <c r="R32" i="3"/>
  <c r="C32" i="3"/>
  <c r="D32" i="3" s="1"/>
  <c r="T31" i="3"/>
  <c r="S31" i="3"/>
  <c r="R31" i="3"/>
  <c r="C31" i="3"/>
  <c r="D31" i="3" s="1"/>
  <c r="T30" i="3"/>
  <c r="S30" i="3"/>
  <c r="R30" i="3"/>
  <c r="C30" i="3"/>
  <c r="D30" i="3" s="1"/>
  <c r="T29" i="3"/>
  <c r="S29" i="3"/>
  <c r="R29" i="3"/>
  <c r="C29" i="3"/>
  <c r="D29" i="3" s="1"/>
  <c r="T28" i="3"/>
  <c r="S28" i="3"/>
  <c r="R28" i="3"/>
  <c r="C28" i="3"/>
  <c r="D28" i="3" s="1"/>
  <c r="T27" i="3"/>
  <c r="S27" i="3"/>
  <c r="R27" i="3"/>
  <c r="C27" i="3"/>
  <c r="D27" i="3" s="1"/>
  <c r="T26" i="3"/>
  <c r="S26" i="3"/>
  <c r="R26" i="3"/>
  <c r="C26" i="3"/>
  <c r="D26" i="3" s="1"/>
  <c r="T25" i="3"/>
  <c r="S25" i="3"/>
  <c r="R25" i="3"/>
  <c r="C25" i="3"/>
  <c r="D25" i="3" s="1"/>
  <c r="T24" i="3"/>
  <c r="S24" i="3"/>
  <c r="R24" i="3"/>
  <c r="C24" i="3"/>
  <c r="D24" i="3" s="1"/>
  <c r="T23" i="3"/>
  <c r="S23" i="3"/>
  <c r="R23" i="3"/>
  <c r="C23" i="3"/>
  <c r="D23" i="3" s="1"/>
  <c r="T22" i="3"/>
  <c r="S22" i="3"/>
  <c r="R22" i="3"/>
  <c r="C22" i="3"/>
  <c r="D22" i="3" s="1"/>
  <c r="T21" i="3"/>
  <c r="S21" i="3"/>
  <c r="R21" i="3"/>
  <c r="C21" i="3"/>
  <c r="D21" i="3" s="1"/>
  <c r="T20" i="3"/>
  <c r="S20" i="3"/>
  <c r="R20" i="3"/>
  <c r="C20" i="3"/>
  <c r="D20" i="3" s="1"/>
  <c r="T19" i="3"/>
  <c r="S19" i="3"/>
  <c r="R19" i="3"/>
  <c r="C19" i="3"/>
  <c r="D19" i="3" s="1"/>
  <c r="T18" i="3"/>
  <c r="S18" i="3"/>
  <c r="R18" i="3"/>
  <c r="C18" i="3"/>
  <c r="D18" i="3" s="1"/>
  <c r="T17" i="3"/>
  <c r="S17" i="3"/>
  <c r="R17" i="3"/>
  <c r="C17" i="3"/>
  <c r="D17" i="3" s="1"/>
  <c r="T16" i="3"/>
  <c r="S16" i="3"/>
  <c r="R16" i="3"/>
  <c r="C16" i="3"/>
  <c r="D16" i="3" s="1"/>
  <c r="T15" i="3"/>
  <c r="S15" i="3"/>
  <c r="R15" i="3"/>
  <c r="C15" i="3"/>
  <c r="D15" i="3" s="1"/>
  <c r="T14" i="3"/>
  <c r="S14" i="3"/>
  <c r="R14" i="3"/>
  <c r="C14" i="3"/>
  <c r="T13" i="3"/>
  <c r="S13" i="3"/>
  <c r="R13" i="3"/>
  <c r="C13" i="3"/>
  <c r="T12" i="3"/>
  <c r="S12" i="3"/>
  <c r="R12" i="3"/>
  <c r="C12" i="3"/>
  <c r="T11" i="3"/>
  <c r="S11" i="3"/>
  <c r="R11" i="3"/>
  <c r="C11" i="3"/>
  <c r="T10" i="3"/>
  <c r="S10" i="3"/>
  <c r="R10" i="3"/>
  <c r="C10" i="3"/>
  <c r="T9" i="3"/>
  <c r="S9" i="3"/>
  <c r="R9" i="3"/>
  <c r="C9" i="3"/>
  <c r="T8" i="3"/>
  <c r="S8" i="3"/>
  <c r="R8" i="3"/>
  <c r="C8" i="3"/>
  <c r="T7" i="3"/>
  <c r="S7" i="3"/>
  <c r="R7" i="3"/>
  <c r="C7" i="3"/>
  <c r="T6" i="3"/>
  <c r="S6" i="3"/>
  <c r="R6" i="3"/>
  <c r="C6" i="3"/>
  <c r="D6" i="3" s="1"/>
  <c r="T5" i="3"/>
  <c r="S5" i="3"/>
  <c r="R5" i="3"/>
  <c r="C5" i="3"/>
  <c r="D5" i="3" s="1"/>
  <c r="T4" i="3"/>
  <c r="S4" i="3"/>
  <c r="R4" i="3"/>
  <c r="C4" i="3"/>
  <c r="D4" i="3" s="1"/>
  <c r="T3" i="3"/>
  <c r="S3" i="3"/>
  <c r="R3" i="3"/>
  <c r="C3" i="3"/>
  <c r="D3" i="3" s="1"/>
  <c r="T2" i="3"/>
  <c r="S2" i="3"/>
  <c r="R2" i="3"/>
  <c r="C2" i="3"/>
  <c r="D2" i="3" s="1"/>
  <c r="D7" i="3" l="1"/>
  <c r="D8" i="3" s="1"/>
  <c r="D9" i="3" s="1"/>
  <c r="D10" i="3" s="1"/>
  <c r="D11" i="3" s="1"/>
  <c r="D12" i="3" s="1"/>
  <c r="D13" i="3" s="1"/>
  <c r="D1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ID#AAABdKh-lgA
GESTION DE REDES    (2025-02-17 16:30:35)
Ingresar solo un CIE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aFpAR1uvJ78liqmrfpRhIFpvoZw=="/>
    </ext>
  </extLst>
</comments>
</file>

<file path=xl/sharedStrings.xml><?xml version="1.0" encoding="utf-8"?>
<sst xmlns="http://schemas.openxmlformats.org/spreadsheetml/2006/main" count="257" uniqueCount="129">
  <si>
    <t>DESCRIPCIÓN</t>
  </si>
  <si>
    <t>CÓDIGO</t>
  </si>
  <si>
    <t>DESCRIPCIÓN DEL TIPO SEGURO (BENEFICIARIO)</t>
  </si>
  <si>
    <t>TIPO SEGURO (BENEFICIARIO)</t>
  </si>
  <si>
    <t>DURACION DE  CONSULTA</t>
  </si>
  <si>
    <t>MAESTRO DE PARENTESCO</t>
  </si>
  <si>
    <t>DIAGNOSTICO</t>
  </si>
  <si>
    <t>GINECOLOGIA (CE)</t>
  </si>
  <si>
    <t>0000000148</t>
  </si>
  <si>
    <t>SG</t>
  </si>
  <si>
    <t>PRIMERA</t>
  </si>
  <si>
    <t>P</t>
  </si>
  <si>
    <t>MASCULINO</t>
  </si>
  <si>
    <t>PRESUNTIVO</t>
  </si>
  <si>
    <t>IESS</t>
  </si>
  <si>
    <t>MEDICINA FAMILIAR</t>
  </si>
  <si>
    <t>0000000582</t>
  </si>
  <si>
    <t>SUBSECUENTE</t>
  </si>
  <si>
    <t>S</t>
  </si>
  <si>
    <t>MINUTOS</t>
  </si>
  <si>
    <t>CONYUGE</t>
  </si>
  <si>
    <t>C</t>
  </si>
  <si>
    <t>FEMENINO</t>
  </si>
  <si>
    <t>DEFINITIVO</t>
  </si>
  <si>
    <t>ISSFA</t>
  </si>
  <si>
    <t>MEDICINA GENERAL (CE)</t>
  </si>
  <si>
    <t>0000000531</t>
  </si>
  <si>
    <t>AG</t>
  </si>
  <si>
    <t>PSICOLOGOS</t>
  </si>
  <si>
    <t>HIJO/HIJA</t>
  </si>
  <si>
    <t>H</t>
  </si>
  <si>
    <t>ISSPOL</t>
  </si>
  <si>
    <t>OBSTETRICIA (CE)</t>
  </si>
  <si>
    <t>0000000552</t>
  </si>
  <si>
    <t>PARIENTE</t>
  </si>
  <si>
    <t>X</t>
  </si>
  <si>
    <t>SEGURO CAMPESINO</t>
  </si>
  <si>
    <t>PEDIATRIA (CE)</t>
  </si>
  <si>
    <t>0000000107</t>
  </si>
  <si>
    <t>MEDICINA FAMILIAR SUB</t>
  </si>
  <si>
    <t>TITULAR</t>
  </si>
  <si>
    <t>T</t>
  </si>
  <si>
    <t xml:space="preserve">PSICOLOGIA (CE) </t>
  </si>
  <si>
    <t>0000000990</t>
  </si>
  <si>
    <t>AFILIADO VOLUNTARIO *</t>
  </si>
  <si>
    <t>OBSTETRIZ</t>
  </si>
  <si>
    <t>NUTRICION Y DIETETICA</t>
  </si>
  <si>
    <t>0000000573</t>
  </si>
  <si>
    <t>CA</t>
  </si>
  <si>
    <t>OBSTETRIZ SUB</t>
  </si>
  <si>
    <t>MEDICINA  GENERAL - EMBARAZADAS, ADOLECENTES, DISCAPACIDAD Y TERCERA EDAD</t>
  </si>
  <si>
    <t>JC</t>
  </si>
  <si>
    <t>MEDICINA  GENERAL SUB- EMBARAZADAS, ADOLECENTES, DISCAPACIDAD Y TERCERA EDAD</t>
  </si>
  <si>
    <t>MEDICINA  GENERAL - PACIENTE GENERAL</t>
  </si>
  <si>
    <t>JU</t>
  </si>
  <si>
    <t>GINECÓLOGO</t>
  </si>
  <si>
    <t>GINECÓLOGO SUB</t>
  </si>
  <si>
    <t>MO</t>
  </si>
  <si>
    <t>PEDIATRIA</t>
  </si>
  <si>
    <t>RT</t>
  </si>
  <si>
    <t>PEDIATRIA SUB</t>
  </si>
  <si>
    <t>ACUPUNTURA</t>
  </si>
  <si>
    <t xml:space="preserve">ACUPUNTURA SUB </t>
  </si>
  <si>
    <t>PACIENTE IESS ISSFA ISSPOL MSP SEGURO CAMPESINO</t>
  </si>
  <si>
    <t>DEPENDENCIA</t>
  </si>
  <si>
    <t>DEPENDENCIA CODIGO</t>
  </si>
  <si>
    <t>NUMERO EXPEDIENTE</t>
  </si>
  <si>
    <t>FECHA ATENCION</t>
  </si>
  <si>
    <t>C.I PACIENTE</t>
  </si>
  <si>
    <t xml:space="preserve">APELLIDOS Y NOMBRES </t>
  </si>
  <si>
    <t>SEXO</t>
  </si>
  <si>
    <t>FECHA NACIMIENTO</t>
  </si>
  <si>
    <t>EDAD</t>
  </si>
  <si>
    <t>CIE 10 (1)</t>
  </si>
  <si>
    <t>PRIMERA/SUBSECUENTE</t>
  </si>
  <si>
    <t>CANT</t>
  </si>
  <si>
    <t>VALOR UNITARIO</t>
  </si>
  <si>
    <t>DURACIÓN</t>
  </si>
  <si>
    <t>DURACION CONSULTA (TIEMPO)</t>
  </si>
  <si>
    <t>PARENTESCO</t>
  </si>
  <si>
    <t>PARENTESCO
CODIGO</t>
  </si>
  <si>
    <t>CI AFILIADO</t>
  </si>
  <si>
    <t>APELLIDOS Y NOMBRES</t>
  </si>
  <si>
    <t>DIAGNOSTICO PRESUNTIVO/DEFINITIVO</t>
  </si>
  <si>
    <t>OBSERVACIONES</t>
  </si>
  <si>
    <t>NOMBRE DEL RESPONSABLE</t>
  </si>
  <si>
    <t>CASTILLO CRUZ JUAN DAVID</t>
  </si>
  <si>
    <t>M</t>
  </si>
  <si>
    <t>SE DESCRIBE CADA UNA DE LAS VARIABLES EN DONDE:</t>
  </si>
  <si>
    <t>P/S</t>
  </si>
  <si>
    <r>
      <rPr>
        <sz val="10"/>
        <color rgb="FF000000"/>
        <rFont val="Calibri"/>
      </rPr>
      <t>SE INGRESA N° DE  MANERA CONSECUTIVA (001...</t>
    </r>
    <r>
      <rPr>
        <sz val="10"/>
        <color rgb="FF000000"/>
        <rFont val="Calibri"/>
      </rPr>
      <t>)</t>
    </r>
  </si>
  <si>
    <t>SE INGRESA LA FECHA DE ATENCION (DD/MM/AAAA)</t>
  </si>
  <si>
    <t>SE INGRESA CÉDULA DEL PACIENTE</t>
  </si>
  <si>
    <t>SE INGRESA LOS APELLIDOS Y NOMBRES DEL PACIENTE</t>
  </si>
  <si>
    <t>SE INGRESA (M = MASCULINO F = FEMENINO)</t>
  </si>
  <si>
    <t>SE INGRESA (DD/MM/AAAA)</t>
  </si>
  <si>
    <t>SE CALCULA LA EDAD DEL PACIENTE CON FORMULA MEDIANTE SU FECHA DE NACIEMIENTO</t>
  </si>
  <si>
    <t>SE INGRESA DIAGNOSTICO PRINCIPAL SE PRIORISA MORBILIDAD</t>
  </si>
  <si>
    <t>SE INGRESA P = PRIMERA / S = SUB SECUENTE</t>
  </si>
  <si>
    <r>
      <rPr>
        <sz val="10"/>
        <color rgb="FF000000"/>
        <rFont val="Calibri"/>
      </rPr>
      <t>SE INGRESA (</t>
    </r>
    <r>
      <rPr>
        <b/>
        <sz val="12"/>
        <color rgb="FF000000"/>
        <rFont val="Calibri"/>
      </rPr>
      <t>1</t>
    </r>
    <r>
      <rPr>
        <sz val="10"/>
        <color rgb="FF000000"/>
        <rFont val="Calibri"/>
      </rPr>
      <t>)</t>
    </r>
  </si>
  <si>
    <t>SE INGRESA N° DE CÉDULA DEL AFIALIADO</t>
  </si>
  <si>
    <t>SE INGRESA APELLIDOS Y NOMBRES DEL AFILIADO</t>
  </si>
  <si>
    <t>P = PRESEUNTIVO / D = DEFINITIVO</t>
  </si>
  <si>
    <t>SE INGRESA EL NOMBRE DEL MEDICO QUE ATIENDE</t>
  </si>
  <si>
    <t>SE INGRESA NOMBRE DEL RESPONSABLE</t>
  </si>
  <si>
    <t>EN EL CASO DE PACIENTE MENOR DE 18 AÑOS CI Y NOMBRES Y APELLIDOS DE PAPA Y MAMA SE DESCARGA LAS DOS COBERTURAS A SI NO TENGAN COBERTURA UNO DE LOS DOS</t>
  </si>
  <si>
    <t>SE CARGA AUTOMATICAMENTE DE ACUERDO AL CODIGO TARIFARIO</t>
  </si>
  <si>
    <t>NOTA: LAS PACIENTES EMBARAZADAS MENORES DE 18 AÑOS NO ENTRAN AL PLANILLAJE CON COBERTURA DE PADRES IESS</t>
  </si>
  <si>
    <t>EN EL CASO DE PACIENTE SEGURO CAMPESINO CI Y NOMBRES Y APELLIDOS DE JEFE DE FAMILIA SE DESCARGA LAS DOS COBERTURAS A SI NO TENGAN COBERTURA UNO DE LOS DOS</t>
  </si>
  <si>
    <t>EN CASO DE IESS DESCARGAR COBERTURA DE QUIEN DEPENDE LA COBERTURA Y DESCARGAR COBERTURA EN LA CARPETA CORRESPONDIENTE</t>
  </si>
  <si>
    <t>EN CASO DE COBERTURA DEL CONYUGUE SE DEBE COLOCAR COBERTURA DE LA PAREJA Y DESCARGAR EN LA CARPETA</t>
  </si>
  <si>
    <t>FECHA ATENCION (dia/mes/año)</t>
  </si>
  <si>
    <t>APELLIDOS Y NOMBRES (SOLO MAYUSCULAS)</t>
  </si>
  <si>
    <t>FECHA NACIMIENTO (día/mes/año)</t>
  </si>
  <si>
    <t>NOMBRE DEL RESPONSABLE (persona que ingresa la información)</t>
  </si>
  <si>
    <t>SEGURO SOCIAL CAMPESINO</t>
  </si>
  <si>
    <t>CSF</t>
  </si>
  <si>
    <t>CSP</t>
  </si>
  <si>
    <t>VOLUNTARIOS</t>
  </si>
  <si>
    <t>SV</t>
  </si>
  <si>
    <t>JUBILADOS (PASIVOS)</t>
  </si>
  <si>
    <t>MONTEPIO (VIUDAS Y HUERFANOS)</t>
  </si>
  <si>
    <t>RIESGOS DE TRABAJO</t>
  </si>
  <si>
    <t>ACTIVO (SEGURO GENERAL)</t>
  </si>
  <si>
    <t>CONYUGUE</t>
  </si>
  <si>
    <t>CY</t>
  </si>
  <si>
    <t>MENORES DEPENDIENTES</t>
  </si>
  <si>
    <t>SEGURO SOCIAL CAMPESINO JUBILADO</t>
  </si>
  <si>
    <t>PSICOLOGIA (CE)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</si>
</sst>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000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2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Arial"/>
    </font>
    <font>
      <b/>
      <sz val="11"/>
      <color rgb="FFFFFFFF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9"/>
      <color rgb="FF7E3794"/>
      <name val="Calibri"/>
    </font>
    <font>
      <b/>
      <sz val="10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9"/>
      <color rgb="FF212121"/>
      <name val="Roboto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9"/>
      <color rgb="FF7E3794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DD6EE"/>
        <bgColor rgb="FFBDD6EE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C5E0B3"/>
        <bgColor rgb="FFC5E0B3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9CC2E5"/>
        <bgColor rgb="FF9CC2E5"/>
      </patternFill>
    </fill>
    <fill>
      <patternFill patternType="solid">
        <fgColor rgb="FFDADADA"/>
        <bgColor rgb="FFDADADA"/>
      </patternFill>
    </fill>
    <fill>
      <patternFill patternType="solid">
        <fgColor rgb="FF98A8BD"/>
        <bgColor rgb="FF98A8BD"/>
      </patternFill>
    </fill>
    <fill>
      <patternFill patternType="solid">
        <fgColor rgb="FFA6A6A6"/>
        <bgColor rgb="FFA6A6A6"/>
      </patternFill>
    </fill>
    <fill>
      <patternFill patternType="solid">
        <fgColor rgb="FFC8C8C8"/>
        <bgColor rgb="FFC8C8C8"/>
      </patternFill>
    </fill>
    <fill>
      <patternFill patternType="solid">
        <fgColor rgb="FFF7CAAC"/>
        <bgColor rgb="FFF7CAA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FFE699"/>
      </patternFill>
    </fill>
    <fill>
      <patternFill patternType="solid">
        <fgColor rgb="FF92D050"/>
        <bgColor rgb="FF9CC2E5"/>
      </patternFill>
    </fill>
    <fill>
      <patternFill patternType="solid">
        <fgColor rgb="FF92D050"/>
        <bgColor rgb="FFDADADA"/>
      </patternFill>
    </fill>
    <fill>
      <patternFill patternType="solid">
        <fgColor rgb="FF92D050"/>
        <bgColor rgb="FFBDD6EE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98A8BD"/>
      </patternFill>
    </fill>
    <fill>
      <patternFill patternType="solid">
        <fgColor rgb="FF92D050"/>
        <bgColor rgb="FFA6A6A6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98A8BD"/>
      </patternFill>
    </fill>
  </fills>
  <borders count="10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2" fillId="2" borderId="1" xfId="0" applyFont="1" applyFill="1" applyBorder="1"/>
    <xf numFmtId="0" fontId="2" fillId="5" borderId="1" xfId="0" applyFont="1" applyFill="1" applyBorder="1"/>
    <xf numFmtId="0" fontId="2" fillId="0" borderId="5" xfId="0" applyFont="1" applyBorder="1"/>
    <xf numFmtId="0" fontId="6" fillId="0" borderId="1" xfId="0" applyFont="1" applyBorder="1"/>
    <xf numFmtId="49" fontId="6" fillId="0" borderId="1" xfId="0" applyNumberFormat="1" applyFont="1" applyBorder="1"/>
    <xf numFmtId="0" fontId="2" fillId="0" borderId="1" xfId="0" applyFont="1" applyBorder="1"/>
    <xf numFmtId="0" fontId="8" fillId="0" borderId="0" xfId="0" applyFont="1"/>
    <xf numFmtId="49" fontId="9" fillId="7" borderId="6" xfId="0" applyNumberFormat="1" applyFont="1" applyFill="1" applyBorder="1"/>
    <xf numFmtId="0" fontId="8" fillId="0" borderId="7" xfId="0" applyFont="1" applyBorder="1"/>
    <xf numFmtId="0" fontId="2" fillId="0" borderId="0" xfId="0" applyFont="1"/>
    <xf numFmtId="0" fontId="8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9" xfId="0" applyFont="1" applyBorder="1"/>
    <xf numFmtId="0" fontId="7" fillId="8" borderId="11" xfId="0" applyFont="1" applyFill="1" applyBorder="1"/>
    <xf numFmtId="0" fontId="6" fillId="8" borderId="1" xfId="0" applyFont="1" applyFill="1" applyBorder="1"/>
    <xf numFmtId="49" fontId="6" fillId="8" borderId="1" xfId="0" applyNumberFormat="1" applyFont="1" applyFill="1" applyBorder="1"/>
    <xf numFmtId="0" fontId="2" fillId="8" borderId="12" xfId="0" applyFont="1" applyFill="1" applyBorder="1"/>
    <xf numFmtId="0" fontId="6" fillId="9" borderId="1" xfId="0" applyFont="1" applyFill="1" applyBorder="1"/>
    <xf numFmtId="49" fontId="6" fillId="9" borderId="1" xfId="0" applyNumberFormat="1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horizontal="right"/>
    </xf>
    <xf numFmtId="0" fontId="10" fillId="11" borderId="16" xfId="0" applyFont="1" applyFill="1" applyBorder="1" applyAlignment="1">
      <alignment horizontal="center" wrapText="1"/>
    </xf>
    <xf numFmtId="0" fontId="10" fillId="12" borderId="17" xfId="0" applyFont="1" applyFill="1" applyBorder="1" applyAlignment="1">
      <alignment horizontal="center" wrapText="1"/>
    </xf>
    <xf numFmtId="0" fontId="10" fillId="12" borderId="18" xfId="0" applyFont="1" applyFill="1" applyBorder="1" applyAlignment="1">
      <alignment horizontal="center" wrapText="1"/>
    </xf>
    <xf numFmtId="0" fontId="10" fillId="10" borderId="16" xfId="0" applyFont="1" applyFill="1" applyBorder="1" applyAlignment="1">
      <alignment horizontal="center" wrapText="1"/>
    </xf>
    <xf numFmtId="0" fontId="10" fillId="13" borderId="16" xfId="0" applyFont="1" applyFill="1" applyBorder="1" applyAlignment="1">
      <alignment horizont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wrapText="1"/>
    </xf>
    <xf numFmtId="0" fontId="10" fillId="10" borderId="21" xfId="0" applyFont="1" applyFill="1" applyBorder="1" applyAlignment="1">
      <alignment horizontal="center" wrapText="1"/>
    </xf>
    <xf numFmtId="0" fontId="10" fillId="10" borderId="18" xfId="0" applyFont="1" applyFill="1" applyBorder="1" applyAlignment="1">
      <alignment horizontal="center" wrapText="1"/>
    </xf>
    <xf numFmtId="0" fontId="10" fillId="13" borderId="17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18" xfId="0" applyFont="1" applyFill="1" applyBorder="1" applyAlignment="1">
      <alignment horizontal="center" wrapText="1"/>
    </xf>
    <xf numFmtId="0" fontId="10" fillId="14" borderId="17" xfId="0" applyFont="1" applyFill="1" applyBorder="1" applyAlignment="1">
      <alignment horizontal="center" vertical="center" wrapText="1"/>
    </xf>
    <xf numFmtId="0" fontId="10" fillId="14" borderId="18" xfId="0" applyFont="1" applyFill="1" applyBorder="1" applyAlignment="1">
      <alignment horizontal="center" wrapText="1"/>
    </xf>
    <xf numFmtId="0" fontId="10" fillId="10" borderId="16" xfId="0" applyFont="1" applyFill="1" applyBorder="1" applyAlignment="1">
      <alignment horizontal="center" vertical="center" wrapText="1"/>
    </xf>
    <xf numFmtId="0" fontId="10" fillId="15" borderId="16" xfId="0" applyFont="1" applyFill="1" applyBorder="1" applyAlignment="1">
      <alignment vertical="center" wrapText="1"/>
    </xf>
    <xf numFmtId="0" fontId="11" fillId="0" borderId="22" xfId="0" applyFont="1" applyBorder="1" applyAlignment="1">
      <alignment wrapText="1"/>
    </xf>
    <xf numFmtId="0" fontId="11" fillId="0" borderId="22" xfId="0" applyFont="1" applyBorder="1" applyAlignment="1">
      <alignment horizontal="center" wrapText="1"/>
    </xf>
    <xf numFmtId="14" fontId="11" fillId="0" borderId="22" xfId="0" applyNumberFormat="1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2" xfId="0" applyFont="1" applyBorder="1" applyAlignment="1">
      <alignment horizontal="right" wrapText="1"/>
    </xf>
    <xf numFmtId="0" fontId="12" fillId="3" borderId="24" xfId="0" applyFont="1" applyFill="1" applyBorder="1" applyAlignment="1">
      <alignment horizontal="right" wrapText="1"/>
    </xf>
    <xf numFmtId="0" fontId="12" fillId="0" borderId="22" xfId="0" applyFont="1" applyBorder="1" applyAlignment="1">
      <alignment wrapText="1"/>
    </xf>
    <xf numFmtId="0" fontId="12" fillId="0" borderId="22" xfId="0" applyFont="1" applyBorder="1" applyAlignment="1">
      <alignment horizontal="right" wrapText="1"/>
    </xf>
    <xf numFmtId="0" fontId="13" fillId="0" borderId="0" xfId="0" applyFont="1"/>
    <xf numFmtId="0" fontId="2" fillId="0" borderId="0" xfId="0" applyFont="1" applyAlignment="1">
      <alignment wrapText="1"/>
    </xf>
    <xf numFmtId="0" fontId="13" fillId="12" borderId="25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wrapText="1"/>
    </xf>
    <xf numFmtId="0" fontId="10" fillId="10" borderId="26" xfId="0" applyFont="1" applyFill="1" applyBorder="1" applyAlignment="1">
      <alignment horizontal="center" wrapText="1"/>
    </xf>
    <xf numFmtId="0" fontId="10" fillId="16" borderId="28" xfId="0" applyFont="1" applyFill="1" applyBorder="1" applyAlignment="1">
      <alignment horizontal="center" wrapText="1"/>
    </xf>
    <xf numFmtId="0" fontId="10" fillId="10" borderId="28" xfId="0" applyFont="1" applyFill="1" applyBorder="1" applyAlignment="1">
      <alignment horizontal="center" wrapText="1"/>
    </xf>
    <xf numFmtId="0" fontId="10" fillId="10" borderId="29" xfId="0" applyFont="1" applyFill="1" applyBorder="1" applyAlignment="1">
      <alignment horizontal="center" wrapText="1"/>
    </xf>
    <xf numFmtId="0" fontId="10" fillId="10" borderId="20" xfId="0" applyFont="1" applyFill="1" applyBorder="1" applyAlignment="1">
      <alignment horizontal="center" wrapText="1"/>
    </xf>
    <xf numFmtId="0" fontId="10" fillId="10" borderId="2" xfId="0" applyFont="1" applyFill="1" applyBorder="1" applyAlignment="1">
      <alignment horizont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30" xfId="0" applyFont="1" applyFill="1" applyBorder="1" applyAlignment="1">
      <alignment horizontal="center" wrapText="1"/>
    </xf>
    <xf numFmtId="0" fontId="7" fillId="8" borderId="31" xfId="0" applyFont="1" applyFill="1" applyBorder="1"/>
    <xf numFmtId="49" fontId="3" fillId="12" borderId="1" xfId="0" applyNumberFormat="1" applyFont="1" applyFill="1" applyBorder="1"/>
    <xf numFmtId="0" fontId="2" fillId="0" borderId="37" xfId="0" applyFont="1" applyBorder="1"/>
    <xf numFmtId="0" fontId="2" fillId="0" borderId="38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46" xfId="0" applyFont="1" applyBorder="1"/>
    <xf numFmtId="0" fontId="7" fillId="8" borderId="48" xfId="0" applyFont="1" applyFill="1" applyBorder="1"/>
    <xf numFmtId="0" fontId="2" fillId="0" borderId="49" xfId="0" applyFont="1" applyBorder="1"/>
    <xf numFmtId="0" fontId="2" fillId="0" borderId="10" xfId="0" applyFont="1" applyBorder="1"/>
    <xf numFmtId="0" fontId="7" fillId="8" borderId="12" xfId="0" applyFont="1" applyFill="1" applyBorder="1"/>
    <xf numFmtId="0" fontId="2" fillId="0" borderId="43" xfId="0" applyFont="1" applyBorder="1"/>
    <xf numFmtId="0" fontId="2" fillId="0" borderId="52" xfId="0" applyFont="1" applyBorder="1"/>
    <xf numFmtId="0" fontId="2" fillId="0" borderId="53" xfId="0" applyFont="1" applyBorder="1"/>
    <xf numFmtId="0" fontId="2" fillId="0" borderId="8" xfId="0" applyFont="1" applyBorder="1"/>
    <xf numFmtId="0" fontId="15" fillId="8" borderId="12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vertical="center" wrapText="1"/>
    </xf>
    <xf numFmtId="0" fontId="2" fillId="0" borderId="14" xfId="0" applyFont="1" applyBorder="1"/>
    <xf numFmtId="0" fontId="2" fillId="0" borderId="15" xfId="0" applyFont="1" applyBorder="1"/>
    <xf numFmtId="0" fontId="11" fillId="0" borderId="0" xfId="0" applyFont="1"/>
    <xf numFmtId="0" fontId="13" fillId="8" borderId="12" xfId="0" applyFont="1" applyFill="1" applyBorder="1" applyAlignment="1">
      <alignment horizontal="center"/>
    </xf>
    <xf numFmtId="0" fontId="10" fillId="8" borderId="12" xfId="0" applyFont="1" applyFill="1" applyBorder="1" applyAlignment="1">
      <alignment vertical="center" wrapText="1"/>
    </xf>
    <xf numFmtId="0" fontId="7" fillId="0" borderId="67" xfId="0" applyFont="1" applyBorder="1"/>
    <xf numFmtId="0" fontId="3" fillId="3" borderId="72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7" fillId="6" borderId="74" xfId="0" applyFont="1" applyFill="1" applyBorder="1"/>
    <xf numFmtId="0" fontId="7" fillId="6" borderId="75" xfId="0" applyFont="1" applyFill="1" applyBorder="1"/>
    <xf numFmtId="0" fontId="7" fillId="6" borderId="76" xfId="0" applyFont="1" applyFill="1" applyBorder="1"/>
    <xf numFmtId="0" fontId="7" fillId="6" borderId="77" xfId="0" applyFont="1" applyFill="1" applyBorder="1"/>
    <xf numFmtId="0" fontId="7" fillId="0" borderId="76" xfId="0" applyFont="1" applyBorder="1"/>
    <xf numFmtId="0" fontId="7" fillId="0" borderId="77" xfId="0" applyFont="1" applyBorder="1"/>
    <xf numFmtId="0" fontId="7" fillId="0" borderId="78" xfId="0" applyFont="1" applyBorder="1"/>
    <xf numFmtId="0" fontId="7" fillId="0" borderId="79" xfId="0" applyFont="1" applyBorder="1"/>
    <xf numFmtId="0" fontId="18" fillId="6" borderId="76" xfId="0" applyFont="1" applyFill="1" applyBorder="1"/>
    <xf numFmtId="0" fontId="18" fillId="6" borderId="77" xfId="0" applyFont="1" applyFill="1" applyBorder="1"/>
    <xf numFmtId="0" fontId="10" fillId="10" borderId="36" xfId="0" applyFont="1" applyFill="1" applyBorder="1" applyAlignment="1">
      <alignment horizontal="center" wrapText="1"/>
    </xf>
    <xf numFmtId="0" fontId="13" fillId="12" borderId="80" xfId="0" applyFont="1" applyFill="1" applyBorder="1" applyAlignment="1">
      <alignment horizontal="center" vertical="center" wrapText="1"/>
    </xf>
    <xf numFmtId="0" fontId="3" fillId="12" borderId="10" xfId="0" applyFont="1" applyFill="1" applyBorder="1"/>
    <xf numFmtId="49" fontId="6" fillId="0" borderId="10" xfId="0" applyNumberFormat="1" applyFont="1" applyBorder="1"/>
    <xf numFmtId="49" fontId="6" fillId="8" borderId="10" xfId="0" applyNumberFormat="1" applyFont="1" applyFill="1" applyBorder="1"/>
    <xf numFmtId="0" fontId="2" fillId="0" borderId="67" xfId="0" applyFont="1" applyBorder="1"/>
    <xf numFmtId="0" fontId="3" fillId="3" borderId="81" xfId="0" applyFont="1" applyFill="1" applyBorder="1" applyAlignment="1">
      <alignment horizontal="center" vertical="center" wrapText="1"/>
    </xf>
    <xf numFmtId="0" fontId="7" fillId="6" borderId="82" xfId="0" applyFont="1" applyFill="1" applyBorder="1"/>
    <xf numFmtId="0" fontId="18" fillId="6" borderId="49" xfId="0" applyFont="1" applyFill="1" applyBorder="1"/>
    <xf numFmtId="0" fontId="7" fillId="6" borderId="49" xfId="0" applyFont="1" applyFill="1" applyBorder="1"/>
    <xf numFmtId="0" fontId="7" fillId="0" borderId="49" xfId="0" applyFont="1" applyBorder="1"/>
    <xf numFmtId="0" fontId="7" fillId="0" borderId="83" xfId="0" applyFont="1" applyBorder="1"/>
    <xf numFmtId="0" fontId="10" fillId="10" borderId="84" xfId="0" applyFont="1" applyFill="1" applyBorder="1" applyAlignment="1">
      <alignment horizontal="center" vertical="center" wrapText="1"/>
    </xf>
    <xf numFmtId="0" fontId="10" fillId="13" borderId="85" xfId="0" applyFont="1" applyFill="1" applyBorder="1" applyAlignment="1">
      <alignment horizontal="center" wrapText="1"/>
    </xf>
    <xf numFmtId="0" fontId="2" fillId="10" borderId="67" xfId="0" applyFont="1" applyFill="1" applyBorder="1" applyAlignment="1">
      <alignment horizontal="right"/>
    </xf>
    <xf numFmtId="0" fontId="17" fillId="0" borderId="67" xfId="0" applyFont="1" applyBorder="1"/>
    <xf numFmtId="0" fontId="2" fillId="0" borderId="67" xfId="0" applyFont="1" applyBorder="1" applyAlignment="1">
      <alignment horizontal="right"/>
    </xf>
    <xf numFmtId="0" fontId="17" fillId="0" borderId="93" xfId="0" applyFont="1" applyBorder="1" applyAlignment="1">
      <alignment horizontal="right"/>
    </xf>
    <xf numFmtId="0" fontId="1" fillId="0" borderId="94" xfId="0" applyFont="1" applyBorder="1"/>
    <xf numFmtId="0" fontId="2" fillId="10" borderId="78" xfId="0" applyFont="1" applyFill="1" applyBorder="1"/>
    <xf numFmtId="0" fontId="8" fillId="0" borderId="67" xfId="0" applyFont="1" applyBorder="1"/>
    <xf numFmtId="0" fontId="2" fillId="0" borderId="92" xfId="0" applyFont="1" applyBorder="1" applyAlignment="1">
      <alignment horizontal="right"/>
    </xf>
    <xf numFmtId="0" fontId="17" fillId="0" borderId="67" xfId="0" applyFont="1" applyBorder="1" applyAlignment="1">
      <alignment horizontal="right"/>
    </xf>
    <xf numFmtId="0" fontId="0" fillId="0" borderId="67" xfId="0" applyBorder="1"/>
    <xf numFmtId="0" fontId="8" fillId="0" borderId="95" xfId="0" applyFont="1" applyBorder="1"/>
    <xf numFmtId="0" fontId="6" fillId="8" borderId="96" xfId="0" applyFont="1" applyFill="1" applyBorder="1"/>
    <xf numFmtId="0" fontId="2" fillId="0" borderId="97" xfId="0" applyFont="1" applyBorder="1" applyAlignment="1">
      <alignment horizontal="right"/>
    </xf>
    <xf numFmtId="0" fontId="6" fillId="0" borderId="96" xfId="0" applyFont="1" applyBorder="1"/>
    <xf numFmtId="0" fontId="6" fillId="9" borderId="96" xfId="0" applyFont="1" applyFill="1" applyBorder="1"/>
    <xf numFmtId="0" fontId="17" fillId="0" borderId="97" xfId="0" applyFont="1" applyBorder="1" applyAlignment="1">
      <alignment horizontal="right"/>
    </xf>
    <xf numFmtId="0" fontId="2" fillId="10" borderId="98" xfId="0" applyFont="1" applyFill="1" applyBorder="1"/>
    <xf numFmtId="0" fontId="2" fillId="0" borderId="99" xfId="0" applyFont="1" applyBorder="1" applyAlignment="1">
      <alignment horizontal="right"/>
    </xf>
    <xf numFmtId="0" fontId="17" fillId="0" borderId="100" xfId="0" applyFont="1" applyBorder="1" applyAlignment="1">
      <alignment horizontal="right"/>
    </xf>
    <xf numFmtId="0" fontId="10" fillId="20" borderId="1" xfId="0" applyFont="1" applyFill="1" applyBorder="1" applyAlignment="1" applyProtection="1">
      <alignment horizontal="center" vertical="center" wrapText="1"/>
      <protection locked="0"/>
    </xf>
    <xf numFmtId="0" fontId="10" fillId="21" borderId="1" xfId="0" applyFont="1" applyFill="1" applyBorder="1" applyAlignment="1" applyProtection="1">
      <alignment horizontal="center" vertical="center" wrapText="1"/>
      <protection locked="0"/>
    </xf>
    <xf numFmtId="0" fontId="10" fillId="28" borderId="1" xfId="0" applyFont="1" applyFill="1" applyBorder="1" applyAlignment="1" applyProtection="1">
      <alignment horizontal="center" vertical="center" wrapText="1"/>
      <protection locked="0"/>
    </xf>
    <xf numFmtId="0" fontId="10" fillId="22" borderId="1" xfId="0" applyFont="1" applyFill="1" applyBorder="1" applyAlignment="1" applyProtection="1">
      <alignment horizontal="center" vertical="center" wrapText="1"/>
      <protection locked="0"/>
    </xf>
    <xf numFmtId="0" fontId="3" fillId="23" borderId="1" xfId="0" applyFont="1" applyFill="1" applyBorder="1" applyAlignment="1" applyProtection="1">
      <alignment horizontal="center" vertical="center" wrapText="1"/>
      <protection locked="0"/>
    </xf>
    <xf numFmtId="0" fontId="10" fillId="24" borderId="1" xfId="0" applyFont="1" applyFill="1" applyBorder="1" applyAlignment="1" applyProtection="1">
      <alignment horizontal="center" vertical="center" wrapText="1"/>
      <protection locked="0"/>
    </xf>
    <xf numFmtId="0" fontId="13" fillId="24" borderId="1" xfId="0" applyFont="1" applyFill="1" applyBorder="1" applyAlignment="1" applyProtection="1">
      <alignment horizontal="center" vertical="center" wrapText="1"/>
      <protection locked="0"/>
    </xf>
    <xf numFmtId="0" fontId="10" fillId="23" borderId="40" xfId="0" applyFont="1" applyFill="1" applyBorder="1" applyAlignment="1" applyProtection="1">
      <alignment horizontal="center" vertical="center" wrapText="1"/>
      <protection locked="0"/>
    </xf>
    <xf numFmtId="0" fontId="10" fillId="27" borderId="40" xfId="0" applyFont="1" applyFill="1" applyBorder="1" applyAlignment="1" applyProtection="1">
      <alignment horizontal="center" vertical="center" wrapText="1"/>
      <protection locked="0"/>
    </xf>
    <xf numFmtId="0" fontId="10" fillId="25" borderId="1" xfId="0" applyFont="1" applyFill="1" applyBorder="1" applyAlignment="1" applyProtection="1">
      <alignment horizontal="center" vertical="center" wrapText="1"/>
      <protection locked="0"/>
    </xf>
    <xf numFmtId="0" fontId="10" fillId="26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2" fillId="0" borderId="37" xfId="0" applyFont="1" applyBorder="1" applyProtection="1">
      <protection locked="0"/>
    </xf>
    <xf numFmtId="0" fontId="2" fillId="0" borderId="37" xfId="0" applyFont="1" applyBorder="1" applyAlignment="1" applyProtection="1">
      <alignment horizontal="center" vertical="center"/>
      <protection locked="0"/>
    </xf>
    <xf numFmtId="49" fontId="17" fillId="0" borderId="37" xfId="0" applyNumberFormat="1" applyFont="1" applyBorder="1" applyProtection="1">
      <protection locked="0"/>
    </xf>
    <xf numFmtId="0" fontId="2" fillId="0" borderId="69" xfId="0" applyFont="1" applyBorder="1" applyProtection="1">
      <protection locked="0"/>
    </xf>
    <xf numFmtId="0" fontId="2" fillId="0" borderId="69" xfId="0" applyFont="1" applyBorder="1" applyAlignment="1" applyProtection="1">
      <alignment horizontal="center"/>
      <protection locked="0"/>
    </xf>
    <xf numFmtId="0" fontId="2" fillId="0" borderId="92" xfId="0" applyFont="1" applyBorder="1" applyAlignment="1" applyProtection="1">
      <alignment horizontal="center"/>
      <protection locked="0"/>
    </xf>
    <xf numFmtId="0" fontId="2" fillId="0" borderId="70" xfId="0" applyFont="1" applyBorder="1" applyProtection="1">
      <protection locked="0"/>
    </xf>
    <xf numFmtId="0" fontId="16" fillId="19" borderId="71" xfId="0" applyFont="1" applyFill="1" applyBorder="1" applyAlignment="1" applyProtection="1">
      <alignment horizontal="right"/>
      <protection locked="0"/>
    </xf>
    <xf numFmtId="0" fontId="2" fillId="0" borderId="1" xfId="0" applyFont="1" applyBorder="1" applyProtection="1">
      <protection locked="0"/>
    </xf>
    <xf numFmtId="0" fontId="16" fillId="19" borderId="1" xfId="0" applyFont="1" applyFill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0" fillId="0" borderId="23" xfId="0" applyFont="1" applyBorder="1" applyAlignment="1">
      <alignment wrapText="1"/>
    </xf>
    <xf numFmtId="0" fontId="17" fillId="0" borderId="37" xfId="0" applyFont="1" applyBorder="1" applyProtection="1">
      <protection locked="0"/>
    </xf>
    <xf numFmtId="0" fontId="16" fillId="19" borderId="69" xfId="0" applyFont="1" applyFill="1" applyBorder="1" applyProtection="1">
      <protection locked="0"/>
    </xf>
    <xf numFmtId="0" fontId="16" fillId="19" borderId="10" xfId="0" applyFont="1" applyFill="1" applyBorder="1" applyProtection="1">
      <protection locked="0"/>
    </xf>
    <xf numFmtId="0" fontId="2" fillId="0" borderId="49" xfId="0" applyFont="1" applyBorder="1" applyProtection="1">
      <protection locked="0"/>
    </xf>
    <xf numFmtId="0" fontId="10" fillId="28" borderId="40" xfId="0" applyFont="1" applyFill="1" applyBorder="1" applyAlignment="1" applyProtection="1">
      <alignment horizontal="center" vertical="center" wrapText="1"/>
      <protection locked="0"/>
    </xf>
    <xf numFmtId="0" fontId="2" fillId="0" borderId="92" xfId="0" applyFont="1" applyBorder="1" applyProtection="1">
      <protection locked="0"/>
    </xf>
    <xf numFmtId="49" fontId="2" fillId="0" borderId="69" xfId="0" applyNumberFormat="1" applyFont="1" applyBorder="1" applyProtection="1">
      <protection locked="0"/>
    </xf>
    <xf numFmtId="164" fontId="2" fillId="0" borderId="70" xfId="0" applyNumberFormat="1" applyFont="1" applyBorder="1" applyProtection="1">
      <protection locked="0"/>
    </xf>
    <xf numFmtId="164" fontId="2" fillId="0" borderId="49" xfId="0" applyNumberFormat="1" applyFont="1" applyBorder="1" applyProtection="1">
      <protection locked="0"/>
    </xf>
    <xf numFmtId="0" fontId="10" fillId="29" borderId="1" xfId="0" applyFont="1" applyFill="1" applyBorder="1" applyAlignment="1" applyProtection="1">
      <alignment horizontal="center" vertical="center" wrapText="1"/>
      <protection locked="0"/>
    </xf>
    <xf numFmtId="0" fontId="3" fillId="27" borderId="1" xfId="0" applyFont="1" applyFill="1" applyBorder="1" applyAlignment="1" applyProtection="1">
      <alignment horizontal="center" vertical="center" wrapText="1"/>
      <protection locked="0"/>
    </xf>
    <xf numFmtId="164" fontId="2" fillId="0" borderId="10" xfId="0" applyNumberFormat="1" applyFont="1" applyBorder="1" applyProtection="1">
      <protection locked="0"/>
    </xf>
    <xf numFmtId="164" fontId="17" fillId="0" borderId="10" xfId="0" applyNumberFormat="1" applyFont="1" applyBorder="1" applyProtection="1">
      <protection locked="0"/>
    </xf>
    <xf numFmtId="165" fontId="17" fillId="0" borderId="101" xfId="0" applyNumberFormat="1" applyFont="1" applyBorder="1" applyProtection="1">
      <protection locked="0"/>
    </xf>
    <xf numFmtId="165" fontId="17" fillId="0" borderId="70" xfId="0" applyNumberFormat="1" applyFont="1" applyBorder="1" applyProtection="1">
      <protection locked="0"/>
    </xf>
    <xf numFmtId="0" fontId="10" fillId="30" borderId="1" xfId="0" applyFont="1" applyFill="1" applyBorder="1" applyAlignment="1" applyProtection="1">
      <alignment horizontal="center" vertical="center" wrapText="1"/>
      <protection locked="0"/>
    </xf>
    <xf numFmtId="0" fontId="2" fillId="0" borderId="70" xfId="0" applyFont="1" applyBorder="1" applyAlignment="1" applyProtection="1">
      <alignment horizontal="center"/>
      <protection locked="0"/>
    </xf>
    <xf numFmtId="49" fontId="6" fillId="0" borderId="10" xfId="0" applyNumberFormat="1" applyFont="1" applyFill="1" applyBorder="1"/>
    <xf numFmtId="0" fontId="6" fillId="0" borderId="1" xfId="0" applyFont="1" applyFill="1" applyBorder="1"/>
    <xf numFmtId="0" fontId="5" fillId="0" borderId="0" xfId="0" applyFont="1" applyAlignment="1">
      <alignment horizontal="center"/>
    </xf>
    <xf numFmtId="0" fontId="0" fillId="0" borderId="0" xfId="0"/>
    <xf numFmtId="0" fontId="19" fillId="0" borderId="67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0" borderId="43" xfId="0" applyFont="1" applyBorder="1" applyAlignment="1">
      <alignment wrapText="1"/>
    </xf>
    <xf numFmtId="0" fontId="4" fillId="0" borderId="43" xfId="0" applyFont="1" applyBorder="1"/>
    <xf numFmtId="0" fontId="11" fillId="17" borderId="54" xfId="0" applyFont="1" applyFill="1" applyBorder="1" applyAlignment="1">
      <alignment horizontal="center" textRotation="90" wrapText="1"/>
    </xf>
    <xf numFmtId="0" fontId="4" fillId="0" borderId="58" xfId="0" applyFont="1" applyBorder="1"/>
    <xf numFmtId="0" fontId="4" fillId="0" borderId="67" xfId="0" applyFont="1" applyBorder="1"/>
    <xf numFmtId="0" fontId="4" fillId="0" borderId="4" xfId="0" applyFont="1" applyBorder="1"/>
    <xf numFmtId="0" fontId="11" fillId="0" borderId="39" xfId="0" applyFont="1" applyBorder="1" applyAlignment="1">
      <alignment horizontal="center" vertical="center" textRotation="90"/>
    </xf>
    <xf numFmtId="0" fontId="4" fillId="0" borderId="47" xfId="0" applyFont="1" applyBorder="1"/>
    <xf numFmtId="0" fontId="4" fillId="0" borderId="68" xfId="0" applyFont="1" applyBorder="1"/>
    <xf numFmtId="0" fontId="2" fillId="18" borderId="55" xfId="0" applyFont="1" applyFill="1" applyBorder="1" applyAlignment="1">
      <alignment wrapText="1"/>
    </xf>
    <xf numFmtId="0" fontId="4" fillId="0" borderId="56" xfId="0" applyFont="1" applyBorder="1"/>
    <xf numFmtId="0" fontId="4" fillId="0" borderId="59" xfId="0" applyFont="1" applyBorder="1"/>
    <xf numFmtId="0" fontId="4" fillId="0" borderId="62" xfId="0" applyFont="1" applyBorder="1"/>
    <xf numFmtId="0" fontId="4" fillId="0" borderId="63" xfId="0" applyFont="1" applyBorder="1"/>
    <xf numFmtId="0" fontId="11" fillId="0" borderId="32" xfId="0" applyFont="1" applyBorder="1" applyAlignment="1">
      <alignment horizontal="center" textRotation="90" wrapText="1"/>
    </xf>
    <xf numFmtId="0" fontId="4" fillId="0" borderId="41" xfId="0" applyFont="1" applyBorder="1"/>
    <xf numFmtId="0" fontId="4" fillId="0" borderId="61" xfId="0" applyFont="1" applyBorder="1"/>
    <xf numFmtId="0" fontId="14" fillId="8" borderId="36" xfId="0" applyFont="1" applyFill="1" applyBorder="1" applyAlignment="1">
      <alignment horizontal="center" textRotation="90" wrapText="1"/>
    </xf>
    <xf numFmtId="0" fontId="4" fillId="0" borderId="45" xfId="0" applyFont="1" applyBorder="1"/>
    <xf numFmtId="0" fontId="4" fillId="0" borderId="50" xfId="0" applyFont="1" applyBorder="1"/>
    <xf numFmtId="0" fontId="4" fillId="0" borderId="57" xfId="0" applyFont="1" applyBorder="1"/>
    <xf numFmtId="0" fontId="4" fillId="0" borderId="60" xfId="0" applyFont="1" applyBorder="1"/>
    <xf numFmtId="0" fontId="4" fillId="0" borderId="64" xfId="0" applyFont="1" applyBorder="1"/>
    <xf numFmtId="0" fontId="11" fillId="0" borderId="86" xfId="0" applyFont="1" applyBorder="1" applyAlignment="1">
      <alignment horizontal="center" vertical="center" textRotation="90" wrapText="1"/>
    </xf>
    <xf numFmtId="0" fontId="4" fillId="0" borderId="88" xfId="0" applyFont="1" applyBorder="1"/>
    <xf numFmtId="0" fontId="4" fillId="0" borderId="90" xfId="0" applyFont="1" applyBorder="1"/>
    <xf numFmtId="0" fontId="11" fillId="0" borderId="87" xfId="0" applyFont="1" applyBorder="1" applyAlignment="1">
      <alignment horizontal="center" vertical="center" textRotation="90" wrapText="1"/>
    </xf>
    <xf numFmtId="0" fontId="4" fillId="0" borderId="89" xfId="0" applyFont="1" applyBorder="1"/>
    <xf numFmtId="0" fontId="4" fillId="0" borderId="91" xfId="0" applyFont="1" applyBorder="1"/>
    <xf numFmtId="0" fontId="14" fillId="8" borderId="34" xfId="0" applyFont="1" applyFill="1" applyBorder="1" applyAlignment="1">
      <alignment horizontal="center" textRotation="90" wrapText="1"/>
    </xf>
    <xf numFmtId="0" fontId="4" fillId="0" borderId="65" xfId="0" applyFont="1" applyBorder="1"/>
    <xf numFmtId="0" fontId="14" fillId="8" borderId="35" xfId="0" applyFont="1" applyFill="1" applyBorder="1" applyAlignment="1">
      <alignment horizontal="center" textRotation="90" wrapText="1"/>
    </xf>
    <xf numFmtId="0" fontId="4" fillId="0" borderId="44" xfId="0" applyFont="1" applyBorder="1"/>
    <xf numFmtId="0" fontId="4" fillId="0" borderId="66" xfId="0" applyFont="1" applyBorder="1"/>
    <xf numFmtId="0" fontId="11" fillId="0" borderId="36" xfId="0" applyFont="1" applyBorder="1" applyAlignment="1">
      <alignment horizontal="left" textRotation="90" wrapText="1"/>
    </xf>
    <xf numFmtId="0" fontId="11" fillId="0" borderId="33" xfId="0" applyFont="1" applyBorder="1" applyAlignment="1">
      <alignment horizontal="left" textRotation="90" wrapText="1"/>
    </xf>
    <xf numFmtId="0" fontId="4" fillId="0" borderId="42" xfId="0" applyFont="1" applyBorder="1"/>
    <xf numFmtId="0" fontId="4" fillId="0" borderId="51" xfId="0" applyFont="1" applyBorder="1"/>
    <xf numFmtId="0" fontId="11" fillId="0" borderId="33" xfId="0" applyFont="1" applyBorder="1" applyAlignment="1">
      <alignment horizontal="center" textRotation="90"/>
    </xf>
    <xf numFmtId="0" fontId="11" fillId="0" borderId="35" xfId="0" applyFont="1" applyBorder="1" applyAlignment="1">
      <alignment horizontal="center" textRotation="90" wrapText="1"/>
    </xf>
    <xf numFmtId="0" fontId="2" fillId="0" borderId="40" xfId="0" applyFont="1" applyBorder="1" applyAlignment="1">
      <alignment wrapText="1"/>
    </xf>
  </cellXfs>
  <cellStyles count="1">
    <cellStyle name="Normal" xfId="0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/>
      </font>
    </dxf>
    <dxf>
      <fill>
        <patternFill patternType="solid">
          <fgColor rgb="FFF4CCCC"/>
          <bgColor rgb="FFF4CCCC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V21"/>
  <sheetViews>
    <sheetView topLeftCell="A2" workbookViewId="0">
      <selection activeCell="D10" sqref="D10"/>
    </sheetView>
  </sheetViews>
  <sheetFormatPr baseColWidth="10" defaultColWidth="14.42578125" defaultRowHeight="15" customHeight="1"/>
  <cols>
    <col min="4" max="4" width="22.140625" customWidth="1"/>
    <col min="7" max="7" width="39.28515625" customWidth="1"/>
    <col min="9" max="9" width="5.28515625" customWidth="1"/>
    <col min="12" max="12" width="6" customWidth="1"/>
    <col min="13" max="13" width="49.5703125" customWidth="1"/>
    <col min="16" max="16" width="29.7109375" customWidth="1"/>
  </cols>
  <sheetData>
    <row r="2" spans="2:22" ht="15" customHeight="1" thickBot="1"/>
    <row r="3" spans="2:22" ht="45.75" thickBot="1">
      <c r="D3" s="1" t="s">
        <v>0</v>
      </c>
      <c r="E3" s="1" t="s">
        <v>1</v>
      </c>
      <c r="G3" s="83" t="s">
        <v>2</v>
      </c>
      <c r="H3" s="84" t="s">
        <v>3</v>
      </c>
      <c r="M3" s="174" t="s">
        <v>4</v>
      </c>
      <c r="N3" s="174"/>
      <c r="O3" s="174"/>
      <c r="P3" s="171" t="s">
        <v>5</v>
      </c>
      <c r="Q3" s="172"/>
      <c r="U3" s="2" t="s">
        <v>6</v>
      </c>
    </row>
    <row r="4" spans="2:22" ht="15.75" thickBot="1">
      <c r="B4" s="3" t="s">
        <v>14</v>
      </c>
      <c r="C4" s="15" t="s">
        <v>42</v>
      </c>
      <c r="D4" s="4" t="s">
        <v>7</v>
      </c>
      <c r="E4" s="5" t="s">
        <v>8</v>
      </c>
      <c r="G4" s="85" t="s">
        <v>115</v>
      </c>
      <c r="H4" s="86" t="s">
        <v>48</v>
      </c>
      <c r="J4" s="6" t="s">
        <v>10</v>
      </c>
      <c r="K4" s="6" t="s">
        <v>11</v>
      </c>
      <c r="M4" s="115"/>
      <c r="N4" s="173" t="s">
        <v>19</v>
      </c>
      <c r="O4" s="173"/>
      <c r="P4" s="8" t="s">
        <v>1</v>
      </c>
      <c r="Q4" s="9"/>
      <c r="S4" s="10" t="s">
        <v>12</v>
      </c>
      <c r="U4" s="6" t="s">
        <v>13</v>
      </c>
      <c r="V4" s="6"/>
    </row>
    <row r="5" spans="2:22">
      <c r="B5" s="3" t="s">
        <v>24</v>
      </c>
      <c r="C5" s="4" t="s">
        <v>15</v>
      </c>
      <c r="D5" s="4" t="s">
        <v>15</v>
      </c>
      <c r="E5" s="5" t="s">
        <v>16</v>
      </c>
      <c r="G5" s="93" t="s">
        <v>127</v>
      </c>
      <c r="H5" s="94" t="s">
        <v>51</v>
      </c>
      <c r="J5" s="6" t="s">
        <v>17</v>
      </c>
      <c r="K5" s="6" t="s">
        <v>18</v>
      </c>
      <c r="M5" s="119"/>
      <c r="N5" s="112" t="s">
        <v>10</v>
      </c>
      <c r="O5" s="113" t="s">
        <v>17</v>
      </c>
      <c r="P5" s="13" t="s">
        <v>20</v>
      </c>
      <c r="Q5" s="13" t="s">
        <v>21</v>
      </c>
      <c r="S5" s="10" t="s">
        <v>22</v>
      </c>
      <c r="U5" s="6" t="s">
        <v>23</v>
      </c>
      <c r="V5" s="6"/>
    </row>
    <row r="6" spans="2:22">
      <c r="B6" s="3" t="s">
        <v>31</v>
      </c>
      <c r="C6" s="4" t="s">
        <v>32</v>
      </c>
      <c r="D6" s="4" t="s">
        <v>25</v>
      </c>
      <c r="E6" s="5" t="s">
        <v>26</v>
      </c>
      <c r="G6" s="87" t="s">
        <v>24</v>
      </c>
      <c r="H6" s="88" t="s">
        <v>116</v>
      </c>
      <c r="M6" s="120" t="s">
        <v>42</v>
      </c>
      <c r="N6" s="116">
        <v>45</v>
      </c>
      <c r="O6" s="121">
        <v>45</v>
      </c>
      <c r="P6" s="13" t="s">
        <v>29</v>
      </c>
      <c r="Q6" s="13" t="s">
        <v>30</v>
      </c>
    </row>
    <row r="7" spans="2:22" ht="15.75" thickBot="1">
      <c r="B7" s="14" t="s">
        <v>36</v>
      </c>
      <c r="C7" s="4" t="s">
        <v>25</v>
      </c>
      <c r="D7" s="4" t="s">
        <v>32</v>
      </c>
      <c r="E7" s="5" t="s">
        <v>33</v>
      </c>
      <c r="G7" s="89" t="s">
        <v>31</v>
      </c>
      <c r="H7" s="90" t="s">
        <v>117</v>
      </c>
      <c r="M7" s="4" t="s">
        <v>15</v>
      </c>
      <c r="N7" s="116">
        <v>40</v>
      </c>
      <c r="O7" s="121">
        <v>30</v>
      </c>
      <c r="P7" s="13" t="s">
        <v>34</v>
      </c>
      <c r="Q7" s="13" t="s">
        <v>35</v>
      </c>
    </row>
    <row r="8" spans="2:22">
      <c r="C8" s="18" t="s">
        <v>46</v>
      </c>
      <c r="D8" s="15" t="s">
        <v>37</v>
      </c>
      <c r="E8" s="16" t="s">
        <v>38</v>
      </c>
      <c r="G8" s="89" t="s">
        <v>118</v>
      </c>
      <c r="H8" s="90" t="s">
        <v>119</v>
      </c>
      <c r="M8" s="122" t="s">
        <v>32</v>
      </c>
      <c r="N8" s="116">
        <v>40</v>
      </c>
      <c r="O8" s="121">
        <v>30</v>
      </c>
      <c r="P8" s="13" t="s">
        <v>40</v>
      </c>
      <c r="Q8" s="13" t="s">
        <v>41</v>
      </c>
    </row>
    <row r="9" spans="2:22">
      <c r="C9" s="4" t="s">
        <v>7</v>
      </c>
      <c r="D9" s="15" t="s">
        <v>128</v>
      </c>
      <c r="E9" s="16" t="s">
        <v>43</v>
      </c>
      <c r="G9" s="89" t="s">
        <v>120</v>
      </c>
      <c r="H9" s="90" t="s">
        <v>54</v>
      </c>
      <c r="M9" s="122" t="s">
        <v>25</v>
      </c>
      <c r="N9" s="116">
        <v>40</v>
      </c>
      <c r="O9" s="121">
        <v>20</v>
      </c>
      <c r="P9" s="17"/>
      <c r="Q9" s="17"/>
    </row>
    <row r="10" spans="2:22">
      <c r="C10" s="15" t="s">
        <v>37</v>
      </c>
      <c r="D10" s="18" t="s">
        <v>46</v>
      </c>
      <c r="E10" s="19" t="s">
        <v>47</v>
      </c>
      <c r="G10" s="89" t="s">
        <v>121</v>
      </c>
      <c r="H10" s="90" t="s">
        <v>57</v>
      </c>
      <c r="M10" s="123" t="s">
        <v>46</v>
      </c>
      <c r="N10" s="116">
        <v>45</v>
      </c>
      <c r="O10" s="121">
        <v>30</v>
      </c>
      <c r="P10" s="17"/>
      <c r="Q10" s="17"/>
    </row>
    <row r="11" spans="2:22" ht="15.75" thickBot="1">
      <c r="C11" s="114" t="s">
        <v>61</v>
      </c>
      <c r="G11" s="89" t="s">
        <v>122</v>
      </c>
      <c r="H11" s="90" t="s">
        <v>59</v>
      </c>
      <c r="M11" s="122" t="s">
        <v>7</v>
      </c>
      <c r="N11" s="116">
        <v>40</v>
      </c>
      <c r="O11" s="121">
        <v>40</v>
      </c>
      <c r="P11" s="17"/>
      <c r="Q11" s="17"/>
    </row>
    <row r="12" spans="2:22">
      <c r="G12" s="89" t="s">
        <v>123</v>
      </c>
      <c r="H12" s="90" t="s">
        <v>9</v>
      </c>
      <c r="M12" s="120" t="s">
        <v>37</v>
      </c>
      <c r="N12" s="116">
        <v>40</v>
      </c>
      <c r="O12" s="124">
        <v>30</v>
      </c>
      <c r="P12" s="17"/>
      <c r="Q12" s="17"/>
    </row>
    <row r="13" spans="2:22" ht="15.75" thickBot="1">
      <c r="G13" s="89" t="s">
        <v>124</v>
      </c>
      <c r="H13" s="90" t="s">
        <v>125</v>
      </c>
      <c r="M13" s="125" t="s">
        <v>61</v>
      </c>
      <c r="N13" s="126">
        <v>40</v>
      </c>
      <c r="O13" s="127">
        <v>40</v>
      </c>
      <c r="P13" s="17"/>
      <c r="Q13" s="17"/>
    </row>
    <row r="14" spans="2:22" ht="15.75" thickBot="1">
      <c r="G14" s="91" t="s">
        <v>126</v>
      </c>
      <c r="H14" s="92" t="s">
        <v>27</v>
      </c>
      <c r="M14" s="118"/>
      <c r="N14" s="109"/>
      <c r="O14" s="117"/>
      <c r="P14" s="17"/>
      <c r="Q14" s="17"/>
    </row>
    <row r="15" spans="2:22">
      <c r="G15" s="82"/>
      <c r="H15" s="82"/>
      <c r="M15" s="110"/>
      <c r="N15" s="111"/>
      <c r="P15" s="17"/>
      <c r="Q15" s="17"/>
    </row>
    <row r="16" spans="2:22">
      <c r="G16" s="82"/>
      <c r="H16" s="82"/>
      <c r="M16" s="100"/>
      <c r="N16" s="111"/>
      <c r="P16" s="17"/>
      <c r="Q16" s="17"/>
    </row>
    <row r="17" spans="7:17">
      <c r="G17" s="82"/>
      <c r="H17" s="82"/>
      <c r="M17" s="100"/>
      <c r="N17" s="111"/>
      <c r="P17" s="17"/>
      <c r="Q17" s="17"/>
    </row>
    <row r="18" spans="7:17">
      <c r="G18" s="82"/>
      <c r="H18" s="82"/>
      <c r="M18" s="100"/>
      <c r="N18" s="111"/>
      <c r="P18" s="17"/>
      <c r="Q18" s="17"/>
    </row>
    <row r="19" spans="7:17">
      <c r="M19" s="100"/>
      <c r="N19" s="111"/>
    </row>
    <row r="20" spans="7:17" ht="15" customHeight="1">
      <c r="M20" s="100"/>
      <c r="N20" s="111"/>
    </row>
    <row r="21" spans="7:17" ht="15" customHeight="1">
      <c r="M21" s="100"/>
      <c r="N21" s="111"/>
    </row>
  </sheetData>
  <mergeCells count="3">
    <mergeCell ref="P3:Q3"/>
    <mergeCell ref="N4:O4"/>
    <mergeCell ref="M3:O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selection activeCell="B14" sqref="B14"/>
    </sheetView>
  </sheetViews>
  <sheetFormatPr baseColWidth="10" defaultColWidth="14.42578125" defaultRowHeight="15" customHeight="1"/>
  <cols>
    <col min="1" max="1" width="24.42578125" customWidth="1"/>
    <col min="2" max="2" width="32.85546875" customWidth="1"/>
    <col min="3" max="3" width="16.7109375" customWidth="1"/>
    <col min="4" max="5" width="14.7109375" customWidth="1"/>
    <col min="6" max="6" width="38.140625" customWidth="1"/>
    <col min="7" max="7" width="17" customWidth="1"/>
    <col min="8" max="16" width="12.5703125" customWidth="1"/>
    <col min="17" max="17" width="29.140625" customWidth="1"/>
    <col min="18" max="18" width="12.5703125" customWidth="1"/>
    <col min="19" max="19" width="38.28515625" customWidth="1"/>
    <col min="20" max="21" width="12.5703125" customWidth="1"/>
    <col min="22" max="22" width="19.85546875" customWidth="1"/>
    <col min="23" max="23" width="24.5703125" customWidth="1"/>
    <col min="24" max="24" width="37.7109375" customWidth="1"/>
    <col min="25" max="25" width="16.28515625" customWidth="1"/>
  </cols>
  <sheetData>
    <row r="1" spans="1:25" ht="49.5" customHeight="1">
      <c r="A1" s="22" t="s">
        <v>63</v>
      </c>
      <c r="B1" s="23" t="s">
        <v>64</v>
      </c>
      <c r="C1" s="24" t="s">
        <v>65</v>
      </c>
      <c r="D1" s="25" t="s">
        <v>66</v>
      </c>
      <c r="E1" s="26" t="s">
        <v>67</v>
      </c>
      <c r="F1" s="27" t="s">
        <v>2</v>
      </c>
      <c r="G1" s="28" t="s">
        <v>3</v>
      </c>
      <c r="H1" s="29" t="s">
        <v>68</v>
      </c>
      <c r="I1" s="30" t="s">
        <v>69</v>
      </c>
      <c r="J1" s="30" t="s">
        <v>70</v>
      </c>
      <c r="K1" s="30" t="s">
        <v>71</v>
      </c>
      <c r="L1" s="31" t="s">
        <v>72</v>
      </c>
      <c r="M1" s="32" t="s">
        <v>73</v>
      </c>
      <c r="N1" s="32" t="s">
        <v>74</v>
      </c>
      <c r="O1" s="29" t="s">
        <v>75</v>
      </c>
      <c r="P1" s="30" t="s">
        <v>76</v>
      </c>
      <c r="Q1" s="33" t="s">
        <v>77</v>
      </c>
      <c r="R1" s="34" t="s">
        <v>78</v>
      </c>
      <c r="S1" s="35" t="s">
        <v>79</v>
      </c>
      <c r="T1" s="36" t="s">
        <v>80</v>
      </c>
      <c r="U1" s="29" t="s">
        <v>81</v>
      </c>
      <c r="V1" s="31" t="s">
        <v>82</v>
      </c>
      <c r="W1" s="37" t="s">
        <v>83</v>
      </c>
      <c r="X1" s="25" t="s">
        <v>84</v>
      </c>
      <c r="Y1" s="38" t="s">
        <v>85</v>
      </c>
    </row>
    <row r="2" spans="1:25" ht="15.75" customHeight="1">
      <c r="A2" s="39" t="s">
        <v>14</v>
      </c>
      <c r="B2" s="39" t="s">
        <v>32</v>
      </c>
      <c r="C2" s="39">
        <v>552</v>
      </c>
      <c r="D2" s="40">
        <v>1</v>
      </c>
      <c r="E2" s="41">
        <v>45450</v>
      </c>
      <c r="F2" s="42" t="s">
        <v>44</v>
      </c>
      <c r="G2" s="151" t="s">
        <v>119</v>
      </c>
      <c r="H2" s="39">
        <v>1725451524</v>
      </c>
      <c r="I2" s="39" t="s">
        <v>86</v>
      </c>
      <c r="J2" s="39" t="s">
        <v>87</v>
      </c>
      <c r="K2" s="41">
        <v>36703</v>
      </c>
      <c r="L2" s="39">
        <v>23</v>
      </c>
      <c r="M2" s="39"/>
      <c r="N2" s="39" t="s">
        <v>11</v>
      </c>
      <c r="O2" s="43">
        <v>1</v>
      </c>
      <c r="P2" s="44">
        <v>14</v>
      </c>
      <c r="Q2" s="45" t="s">
        <v>28</v>
      </c>
      <c r="R2" s="46">
        <v>45</v>
      </c>
      <c r="S2" s="13" t="s">
        <v>40</v>
      </c>
      <c r="T2" s="13" t="s">
        <v>41</v>
      </c>
      <c r="U2" s="39">
        <v>1725451524</v>
      </c>
      <c r="V2" s="39" t="s">
        <v>86</v>
      </c>
      <c r="W2" s="39" t="s">
        <v>11</v>
      </c>
      <c r="X2" s="39"/>
      <c r="Y2" s="39"/>
    </row>
    <row r="3" spans="1:25" ht="9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5.75" customHeight="1">
      <c r="A4" s="47" t="s">
        <v>88</v>
      </c>
      <c r="B4" s="4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9" customHeight="1" thickBo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48" customHeight="1" thickBot="1">
      <c r="A6" s="22" t="s">
        <v>63</v>
      </c>
      <c r="B6" s="49" t="s">
        <v>64</v>
      </c>
      <c r="C6" s="96" t="s">
        <v>65</v>
      </c>
      <c r="D6" s="107" t="s">
        <v>66</v>
      </c>
      <c r="E6" s="108" t="s">
        <v>67</v>
      </c>
      <c r="F6" s="101" t="s">
        <v>2</v>
      </c>
      <c r="G6" s="84" t="s">
        <v>3</v>
      </c>
      <c r="H6" s="95" t="s">
        <v>68</v>
      </c>
      <c r="I6" s="50" t="s">
        <v>69</v>
      </c>
      <c r="J6" s="51" t="s">
        <v>70</v>
      </c>
      <c r="K6" s="51" t="s">
        <v>71</v>
      </c>
      <c r="L6" s="52" t="s">
        <v>72</v>
      </c>
      <c r="M6" s="53" t="s">
        <v>73</v>
      </c>
      <c r="N6" s="53" t="s">
        <v>89</v>
      </c>
      <c r="O6" s="54" t="s">
        <v>75</v>
      </c>
      <c r="P6" s="55" t="s">
        <v>76</v>
      </c>
      <c r="Q6" s="55" t="s">
        <v>77</v>
      </c>
      <c r="R6" s="56" t="s">
        <v>78</v>
      </c>
      <c r="S6" s="35" t="s">
        <v>79</v>
      </c>
      <c r="T6" s="36" t="s">
        <v>80</v>
      </c>
      <c r="U6" s="54" t="s">
        <v>81</v>
      </c>
      <c r="V6" s="57" t="s">
        <v>82</v>
      </c>
      <c r="W6" s="58" t="s">
        <v>83</v>
      </c>
      <c r="X6" s="59" t="s">
        <v>84</v>
      </c>
      <c r="Y6" s="38" t="s">
        <v>85</v>
      </c>
    </row>
    <row r="7" spans="1:25" ht="15" customHeight="1" thickBot="1">
      <c r="A7" s="60"/>
      <c r="B7" s="61" t="s">
        <v>0</v>
      </c>
      <c r="C7" s="97" t="s">
        <v>1</v>
      </c>
      <c r="D7" s="198" t="s">
        <v>90</v>
      </c>
      <c r="E7" s="201" t="s">
        <v>91</v>
      </c>
      <c r="F7" s="102" t="s">
        <v>115</v>
      </c>
      <c r="G7" s="86" t="s">
        <v>48</v>
      </c>
      <c r="H7" s="192" t="s">
        <v>92</v>
      </c>
      <c r="I7" s="204" t="s">
        <v>93</v>
      </c>
      <c r="J7" s="204" t="s">
        <v>94</v>
      </c>
      <c r="K7" s="204" t="s">
        <v>95</v>
      </c>
      <c r="L7" s="206" t="s">
        <v>96</v>
      </c>
      <c r="M7" s="209" t="s">
        <v>97</v>
      </c>
      <c r="N7" s="210" t="s">
        <v>98</v>
      </c>
      <c r="O7" s="213" t="s">
        <v>99</v>
      </c>
      <c r="P7" s="62">
        <v>6.5</v>
      </c>
      <c r="Q7" s="62"/>
      <c r="R7" s="63"/>
      <c r="S7" s="8" t="s">
        <v>1</v>
      </c>
      <c r="T7" s="64"/>
      <c r="U7" s="213" t="s">
        <v>100</v>
      </c>
      <c r="V7" s="214" t="s">
        <v>101</v>
      </c>
      <c r="W7" s="181" t="s">
        <v>102</v>
      </c>
      <c r="X7" s="215" t="s">
        <v>103</v>
      </c>
      <c r="Y7" s="189" t="s">
        <v>104</v>
      </c>
    </row>
    <row r="8" spans="1:25" ht="15" customHeight="1">
      <c r="A8" s="65"/>
      <c r="B8" s="4" t="s">
        <v>7</v>
      </c>
      <c r="C8" s="98" t="s">
        <v>8</v>
      </c>
      <c r="D8" s="199"/>
      <c r="E8" s="202"/>
      <c r="F8" s="103" t="s">
        <v>127</v>
      </c>
      <c r="G8" s="94" t="s">
        <v>51</v>
      </c>
      <c r="H8" s="193"/>
      <c r="I8" s="176"/>
      <c r="J8" s="176"/>
      <c r="K8" s="176"/>
      <c r="L8" s="207"/>
      <c r="M8" s="193"/>
      <c r="N8" s="211"/>
      <c r="O8" s="211"/>
      <c r="P8" s="6">
        <v>9.5</v>
      </c>
      <c r="Q8" s="6"/>
      <c r="R8" s="66"/>
      <c r="S8" s="13" t="s">
        <v>20</v>
      </c>
      <c r="T8" s="13" t="s">
        <v>21</v>
      </c>
      <c r="U8" s="211"/>
      <c r="V8" s="207"/>
      <c r="W8" s="182"/>
      <c r="X8" s="176"/>
      <c r="Y8" s="190"/>
    </row>
    <row r="9" spans="1:25" ht="15" customHeight="1">
      <c r="A9" s="65" t="s">
        <v>14</v>
      </c>
      <c r="B9" s="4" t="s">
        <v>15</v>
      </c>
      <c r="C9" s="98" t="s">
        <v>16</v>
      </c>
      <c r="D9" s="199"/>
      <c r="E9" s="202"/>
      <c r="F9" s="104" t="s">
        <v>24</v>
      </c>
      <c r="G9" s="88" t="s">
        <v>116</v>
      </c>
      <c r="H9" s="193"/>
      <c r="I9" s="176"/>
      <c r="J9" s="176"/>
      <c r="K9" s="176"/>
      <c r="L9" s="207"/>
      <c r="M9" s="193"/>
      <c r="N9" s="211"/>
      <c r="O9" s="211"/>
      <c r="P9" s="6">
        <v>14</v>
      </c>
      <c r="Q9" s="6"/>
      <c r="R9" s="66"/>
      <c r="S9" s="13" t="s">
        <v>29</v>
      </c>
      <c r="T9" s="13" t="s">
        <v>30</v>
      </c>
      <c r="U9" s="211"/>
      <c r="V9" s="207"/>
      <c r="W9" s="182"/>
      <c r="X9" s="176"/>
      <c r="Y9" s="190"/>
    </row>
    <row r="10" spans="1:25" ht="15" customHeight="1">
      <c r="A10" s="65" t="s">
        <v>24</v>
      </c>
      <c r="B10" s="4" t="s">
        <v>25</v>
      </c>
      <c r="C10" s="98" t="s">
        <v>26</v>
      </c>
      <c r="D10" s="199"/>
      <c r="E10" s="202"/>
      <c r="F10" s="105" t="s">
        <v>31</v>
      </c>
      <c r="G10" s="90" t="s">
        <v>117</v>
      </c>
      <c r="H10" s="193"/>
      <c r="I10" s="176"/>
      <c r="J10" s="176"/>
      <c r="K10" s="176"/>
      <c r="L10" s="207"/>
      <c r="M10" s="193"/>
      <c r="N10" s="211"/>
      <c r="O10" s="211"/>
      <c r="P10" s="6">
        <v>20</v>
      </c>
      <c r="Q10" s="6"/>
      <c r="R10" s="66"/>
      <c r="S10" s="13" t="s">
        <v>34</v>
      </c>
      <c r="T10" s="13" t="s">
        <v>35</v>
      </c>
      <c r="U10" s="211"/>
      <c r="V10" s="207"/>
      <c r="W10" s="182"/>
      <c r="X10" s="176"/>
      <c r="Y10" s="190"/>
    </row>
    <row r="11" spans="1:25" ht="15" customHeight="1">
      <c r="A11" s="65" t="s">
        <v>31</v>
      </c>
      <c r="B11" s="4" t="s">
        <v>32</v>
      </c>
      <c r="C11" s="98" t="s">
        <v>33</v>
      </c>
      <c r="D11" s="199"/>
      <c r="E11" s="202"/>
      <c r="F11" s="105" t="s">
        <v>118</v>
      </c>
      <c r="G11" s="90" t="s">
        <v>119</v>
      </c>
      <c r="H11" s="193"/>
      <c r="I11" s="176"/>
      <c r="J11" s="176"/>
      <c r="K11" s="176"/>
      <c r="L11" s="207"/>
      <c r="M11" s="193"/>
      <c r="N11" s="211"/>
      <c r="O11" s="211"/>
      <c r="P11" s="6">
        <v>6</v>
      </c>
      <c r="Q11" s="6"/>
      <c r="R11" s="66"/>
      <c r="S11" s="13" t="s">
        <v>40</v>
      </c>
      <c r="T11" s="13" t="s">
        <v>41</v>
      </c>
      <c r="U11" s="211"/>
      <c r="V11" s="207"/>
      <c r="W11" s="182"/>
      <c r="X11" s="176"/>
      <c r="Y11" s="190"/>
    </row>
    <row r="12" spans="1:25" ht="15" customHeight="1" thickBot="1">
      <c r="A12" s="67" t="s">
        <v>36</v>
      </c>
      <c r="B12" s="15" t="s">
        <v>37</v>
      </c>
      <c r="C12" s="99" t="s">
        <v>38</v>
      </c>
      <c r="D12" s="199"/>
      <c r="E12" s="202"/>
      <c r="F12" s="105" t="s">
        <v>120</v>
      </c>
      <c r="G12" s="90" t="s">
        <v>54</v>
      </c>
      <c r="H12" s="193"/>
      <c r="I12" s="176"/>
      <c r="J12" s="176"/>
      <c r="K12" s="176"/>
      <c r="L12" s="207"/>
      <c r="M12" s="193"/>
      <c r="N12" s="211"/>
      <c r="O12" s="211"/>
      <c r="P12" s="6">
        <v>9</v>
      </c>
      <c r="Q12" s="6"/>
      <c r="R12" s="66"/>
      <c r="S12" s="68"/>
      <c r="T12" s="69"/>
      <c r="U12" s="211"/>
      <c r="V12" s="207"/>
      <c r="W12" s="182"/>
      <c r="X12" s="176"/>
      <c r="Y12" s="190"/>
    </row>
    <row r="13" spans="1:25" ht="15" customHeight="1">
      <c r="A13" s="70"/>
      <c r="B13" s="15" t="s">
        <v>42</v>
      </c>
      <c r="C13" s="99" t="s">
        <v>43</v>
      </c>
      <c r="D13" s="199"/>
      <c r="E13" s="202"/>
      <c r="F13" s="105" t="s">
        <v>121</v>
      </c>
      <c r="G13" s="90" t="s">
        <v>57</v>
      </c>
      <c r="H13" s="193"/>
      <c r="I13" s="176"/>
      <c r="J13" s="176"/>
      <c r="K13" s="176"/>
      <c r="L13" s="207"/>
      <c r="M13" s="193"/>
      <c r="N13" s="211"/>
      <c r="O13" s="211"/>
      <c r="P13" s="6">
        <v>13.5</v>
      </c>
      <c r="Q13" s="6"/>
      <c r="R13" s="66"/>
      <c r="S13" s="68"/>
      <c r="T13" s="69"/>
      <c r="U13" s="211"/>
      <c r="V13" s="207"/>
      <c r="W13" s="182"/>
      <c r="X13" s="71"/>
      <c r="Y13" s="190"/>
    </row>
    <row r="14" spans="1:25" ht="15" customHeight="1" thickBot="1">
      <c r="A14" s="10"/>
      <c r="B14" s="170" t="s">
        <v>46</v>
      </c>
      <c r="C14" s="169" t="s">
        <v>47</v>
      </c>
      <c r="D14" s="199"/>
      <c r="E14" s="202"/>
      <c r="F14" s="105" t="s">
        <v>122</v>
      </c>
      <c r="G14" s="90" t="s">
        <v>59</v>
      </c>
      <c r="H14" s="193"/>
      <c r="I14" s="176"/>
      <c r="J14" s="176"/>
      <c r="K14" s="176"/>
      <c r="L14" s="207"/>
      <c r="M14" s="194"/>
      <c r="N14" s="212"/>
      <c r="O14" s="212"/>
      <c r="P14" s="72">
        <v>19.5</v>
      </c>
      <c r="Q14" s="72"/>
      <c r="R14" s="73"/>
      <c r="S14" s="68"/>
      <c r="T14" s="69"/>
      <c r="U14" s="211"/>
      <c r="V14" s="207"/>
      <c r="W14" s="182"/>
      <c r="X14" s="175" t="s">
        <v>105</v>
      </c>
      <c r="Y14" s="190"/>
    </row>
    <row r="15" spans="1:25" ht="15.75" customHeight="1">
      <c r="A15" s="10"/>
      <c r="B15" s="10"/>
      <c r="C15" s="100"/>
      <c r="D15" s="199"/>
      <c r="E15" s="202"/>
      <c r="F15" s="105" t="s">
        <v>123</v>
      </c>
      <c r="G15" s="90" t="s">
        <v>9</v>
      </c>
      <c r="H15" s="193"/>
      <c r="I15" s="176"/>
      <c r="J15" s="176"/>
      <c r="K15" s="176"/>
      <c r="L15" s="207"/>
      <c r="M15" s="10"/>
      <c r="N15" s="10"/>
      <c r="O15" s="10"/>
      <c r="P15" s="177" t="s">
        <v>106</v>
      </c>
      <c r="Q15" s="10"/>
      <c r="R15" s="10"/>
      <c r="S15" s="74"/>
      <c r="T15" s="69"/>
      <c r="U15" s="211"/>
      <c r="V15" s="207"/>
      <c r="W15" s="182"/>
      <c r="X15" s="176"/>
      <c r="Y15" s="190"/>
    </row>
    <row r="16" spans="1:25" ht="15.75" customHeight="1">
      <c r="A16" s="184" t="s">
        <v>107</v>
      </c>
      <c r="B16" s="185"/>
      <c r="C16" s="179"/>
      <c r="D16" s="199"/>
      <c r="E16" s="202"/>
      <c r="F16" s="105" t="s">
        <v>124</v>
      </c>
      <c r="G16" s="90" t="s">
        <v>125</v>
      </c>
      <c r="H16" s="193"/>
      <c r="I16" s="176"/>
      <c r="J16" s="176"/>
      <c r="K16" s="176"/>
      <c r="L16" s="207"/>
      <c r="M16" s="10"/>
      <c r="N16" s="10"/>
      <c r="O16" s="10"/>
      <c r="P16" s="178"/>
      <c r="Q16" s="174" t="s">
        <v>4</v>
      </c>
      <c r="R16" s="180"/>
      <c r="S16" s="74"/>
      <c r="T16" s="69"/>
      <c r="U16" s="211"/>
      <c r="V16" s="207"/>
      <c r="W16" s="182"/>
      <c r="X16" s="176"/>
      <c r="Y16" s="190"/>
    </row>
    <row r="17" spans="1:25" ht="15.75" customHeight="1" thickBot="1">
      <c r="A17" s="186"/>
      <c r="B17" s="172"/>
      <c r="C17" s="179"/>
      <c r="D17" s="199"/>
      <c r="E17" s="202"/>
      <c r="F17" s="106" t="s">
        <v>126</v>
      </c>
      <c r="G17" s="92" t="s">
        <v>27</v>
      </c>
      <c r="H17" s="193"/>
      <c r="I17" s="176"/>
      <c r="J17" s="176"/>
      <c r="K17" s="176"/>
      <c r="L17" s="207"/>
      <c r="M17" s="10"/>
      <c r="N17" s="10"/>
      <c r="O17" s="10"/>
      <c r="P17" s="178"/>
      <c r="Q17" s="7"/>
      <c r="R17" s="7"/>
      <c r="S17" s="74"/>
      <c r="T17" s="69"/>
      <c r="U17" s="211"/>
      <c r="V17" s="207"/>
      <c r="W17" s="182"/>
      <c r="X17" s="176"/>
      <c r="Y17" s="191"/>
    </row>
    <row r="18" spans="1:25" ht="15.75" customHeight="1">
      <c r="A18" s="186"/>
      <c r="B18" s="172"/>
      <c r="C18" s="179"/>
      <c r="D18" s="199"/>
      <c r="E18" s="202"/>
      <c r="F18" s="82"/>
      <c r="G18" s="82"/>
      <c r="H18" s="193"/>
      <c r="I18" s="176"/>
      <c r="J18" s="176"/>
      <c r="K18" s="176"/>
      <c r="L18" s="207"/>
      <c r="M18" s="10"/>
      <c r="N18" s="10"/>
      <c r="O18" s="10"/>
      <c r="P18" s="178"/>
      <c r="Q18" s="11"/>
      <c r="R18" s="12" t="s">
        <v>19</v>
      </c>
      <c r="S18" s="74"/>
      <c r="T18" s="69"/>
      <c r="U18" s="211"/>
      <c r="V18" s="207"/>
      <c r="W18" s="182"/>
      <c r="X18" s="176"/>
      <c r="Y18" s="10"/>
    </row>
    <row r="19" spans="1:25" ht="15.75" customHeight="1">
      <c r="A19" s="186"/>
      <c r="B19" s="172"/>
      <c r="C19" s="179"/>
      <c r="D19" s="199"/>
      <c r="E19" s="202"/>
      <c r="F19" s="82"/>
      <c r="G19" s="82"/>
      <c r="H19" s="193"/>
      <c r="I19" s="176"/>
      <c r="J19" s="176"/>
      <c r="K19" s="176"/>
      <c r="L19" s="207"/>
      <c r="M19" s="10"/>
      <c r="N19" s="10"/>
      <c r="O19" s="10"/>
      <c r="P19" s="178"/>
      <c r="Q19" s="6" t="s">
        <v>28</v>
      </c>
      <c r="R19" s="12">
        <v>45</v>
      </c>
      <c r="S19" s="74"/>
      <c r="T19" s="69"/>
      <c r="U19" s="211"/>
      <c r="V19" s="207"/>
      <c r="W19" s="182"/>
      <c r="X19" s="176"/>
      <c r="Y19" s="10"/>
    </row>
    <row r="20" spans="1:25" ht="15.75" customHeight="1">
      <c r="A20" s="186"/>
      <c r="B20" s="172"/>
      <c r="C20" s="179"/>
      <c r="D20" s="199"/>
      <c r="E20" s="202"/>
      <c r="F20" s="82"/>
      <c r="G20" s="82"/>
      <c r="H20" s="193"/>
      <c r="I20" s="176"/>
      <c r="J20" s="176"/>
      <c r="K20" s="176"/>
      <c r="L20" s="207"/>
      <c r="M20" s="75"/>
      <c r="N20" s="75"/>
      <c r="O20" s="10"/>
      <c r="P20" s="178"/>
      <c r="Q20" s="6" t="s">
        <v>15</v>
      </c>
      <c r="R20" s="12">
        <v>40</v>
      </c>
      <c r="S20" s="74"/>
      <c r="T20" s="69"/>
      <c r="U20" s="211"/>
      <c r="V20" s="207"/>
      <c r="W20" s="182"/>
      <c r="X20" s="71"/>
      <c r="Y20" s="10"/>
    </row>
    <row r="21" spans="1:25" ht="15.75" customHeight="1" thickBot="1">
      <c r="A21" s="187"/>
      <c r="B21" s="188"/>
      <c r="C21" s="179"/>
      <c r="D21" s="200"/>
      <c r="E21" s="203"/>
      <c r="F21" s="82"/>
      <c r="G21" s="82"/>
      <c r="H21" s="194"/>
      <c r="I21" s="205"/>
      <c r="J21" s="205"/>
      <c r="K21" s="205"/>
      <c r="L21" s="208"/>
      <c r="M21" s="76"/>
      <c r="N21" s="76"/>
      <c r="O21" s="10"/>
      <c r="P21" s="179"/>
      <c r="Q21" s="6" t="s">
        <v>39</v>
      </c>
      <c r="R21" s="12">
        <v>30</v>
      </c>
      <c r="S21" s="77"/>
      <c r="T21" s="78"/>
      <c r="U21" s="212"/>
      <c r="V21" s="208"/>
      <c r="W21" s="183"/>
      <c r="X21" s="175" t="s">
        <v>108</v>
      </c>
      <c r="Y21" s="10"/>
    </row>
    <row r="22" spans="1:25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76"/>
      <c r="N22" s="76"/>
      <c r="O22" s="10"/>
      <c r="P22" s="10"/>
      <c r="Q22" s="6" t="s">
        <v>45</v>
      </c>
      <c r="R22" s="12">
        <v>40</v>
      </c>
      <c r="S22" s="10"/>
      <c r="T22" s="10"/>
      <c r="U22" s="10"/>
      <c r="V22" s="10"/>
      <c r="W22" s="10"/>
      <c r="X22" s="176"/>
      <c r="Y22" s="10"/>
    </row>
    <row r="23" spans="1:25" ht="15.75" customHeight="1">
      <c r="A23" s="10"/>
      <c r="B23" s="10"/>
      <c r="C23" s="10"/>
      <c r="D23" s="79"/>
      <c r="E23" s="10"/>
      <c r="F23" s="184" t="s">
        <v>109</v>
      </c>
      <c r="G23" s="195"/>
      <c r="H23" s="10"/>
      <c r="I23" s="10"/>
      <c r="J23" s="10"/>
      <c r="K23" s="10"/>
      <c r="L23" s="10"/>
      <c r="M23" s="76"/>
      <c r="N23" s="76"/>
      <c r="O23" s="10"/>
      <c r="P23" s="10"/>
      <c r="Q23" s="6" t="s">
        <v>49</v>
      </c>
      <c r="R23" s="12">
        <v>30</v>
      </c>
      <c r="S23" s="10"/>
      <c r="T23" s="10"/>
      <c r="U23" s="10"/>
      <c r="V23" s="10"/>
      <c r="W23" s="10"/>
      <c r="X23" s="176"/>
      <c r="Y23" s="10"/>
    </row>
    <row r="24" spans="1:25" ht="15.75" customHeight="1">
      <c r="A24" s="10"/>
      <c r="B24" s="10"/>
      <c r="C24" s="10"/>
      <c r="D24" s="79"/>
      <c r="E24" s="10"/>
      <c r="F24" s="186"/>
      <c r="G24" s="196"/>
      <c r="H24" s="10"/>
      <c r="I24" s="10"/>
      <c r="J24" s="10"/>
      <c r="K24" s="10"/>
      <c r="L24" s="10"/>
      <c r="M24" s="76"/>
      <c r="N24" s="76"/>
      <c r="O24" s="10"/>
      <c r="P24" s="10"/>
      <c r="Q24" s="6" t="s">
        <v>50</v>
      </c>
      <c r="R24" s="12">
        <v>40</v>
      </c>
      <c r="S24" s="10"/>
      <c r="T24" s="10"/>
      <c r="U24" s="10"/>
      <c r="V24" s="10"/>
      <c r="W24" s="10"/>
      <c r="X24" s="176"/>
      <c r="Y24" s="10"/>
    </row>
    <row r="25" spans="1:25" ht="15.75" customHeight="1">
      <c r="A25" s="10"/>
      <c r="B25" s="10"/>
      <c r="C25" s="10"/>
      <c r="D25" s="79"/>
      <c r="E25" s="10"/>
      <c r="F25" s="187"/>
      <c r="G25" s="197"/>
      <c r="H25" s="10"/>
      <c r="I25" s="10"/>
      <c r="J25" s="10"/>
      <c r="K25" s="10"/>
      <c r="L25" s="10"/>
      <c r="M25" s="76"/>
      <c r="N25" s="76"/>
      <c r="O25" s="10"/>
      <c r="P25" s="10"/>
      <c r="Q25" s="6" t="s">
        <v>52</v>
      </c>
      <c r="R25" s="12">
        <v>20</v>
      </c>
      <c r="S25" s="10"/>
      <c r="T25" s="10"/>
      <c r="U25" s="10"/>
      <c r="V25" s="10"/>
      <c r="W25" s="10"/>
      <c r="X25" s="176"/>
      <c r="Y25" s="10"/>
    </row>
    <row r="26" spans="1:25" ht="15.75" customHeight="1">
      <c r="A26" s="10"/>
      <c r="B26" s="10"/>
      <c r="C26" s="10"/>
      <c r="D26" s="79"/>
      <c r="E26" s="10"/>
      <c r="F26" s="10"/>
      <c r="G26" s="10"/>
      <c r="H26" s="10"/>
      <c r="I26" s="10"/>
      <c r="J26" s="10"/>
      <c r="K26" s="10"/>
      <c r="L26" s="10"/>
      <c r="M26" s="76"/>
      <c r="N26" s="76"/>
      <c r="O26" s="10"/>
      <c r="P26" s="10"/>
      <c r="Q26" s="6" t="s">
        <v>53</v>
      </c>
      <c r="R26" s="12">
        <v>20</v>
      </c>
      <c r="S26" s="10"/>
      <c r="T26" s="10"/>
      <c r="U26" s="10"/>
      <c r="V26" s="10"/>
      <c r="W26" s="10"/>
      <c r="X26" s="176"/>
      <c r="Y26" s="10"/>
    </row>
    <row r="27" spans="1:25" ht="15.75" customHeight="1">
      <c r="A27" s="10"/>
      <c r="B27" s="10"/>
      <c r="C27" s="10"/>
      <c r="D27" s="79"/>
      <c r="E27" s="10"/>
      <c r="F27" s="10"/>
      <c r="G27" s="10"/>
      <c r="H27" s="10"/>
      <c r="I27" s="10"/>
      <c r="J27" s="10"/>
      <c r="K27" s="10"/>
      <c r="L27" s="10"/>
      <c r="M27" s="76"/>
      <c r="N27" s="76"/>
      <c r="O27" s="10"/>
      <c r="P27" s="10"/>
      <c r="Q27" s="6" t="s">
        <v>55</v>
      </c>
      <c r="R27" s="12">
        <v>40</v>
      </c>
      <c r="S27" s="10"/>
      <c r="T27" s="10"/>
      <c r="U27" s="10"/>
      <c r="V27" s="10"/>
      <c r="W27" s="10"/>
      <c r="X27" s="62"/>
      <c r="Y27" s="10"/>
    </row>
    <row r="28" spans="1:25" ht="15.75" customHeight="1">
      <c r="A28" s="10"/>
      <c r="B28" s="10"/>
      <c r="C28" s="10"/>
      <c r="D28" s="79"/>
      <c r="E28" s="10"/>
      <c r="F28" s="10"/>
      <c r="G28" s="10"/>
      <c r="H28" s="10"/>
      <c r="I28" s="10"/>
      <c r="J28" s="10"/>
      <c r="K28" s="10"/>
      <c r="L28" s="10"/>
      <c r="M28" s="76"/>
      <c r="N28" s="76"/>
      <c r="O28" s="10"/>
      <c r="P28" s="10"/>
      <c r="Q28" s="6" t="s">
        <v>56</v>
      </c>
      <c r="R28" s="12">
        <v>30</v>
      </c>
      <c r="S28" s="10"/>
      <c r="T28" s="10"/>
      <c r="U28" s="10"/>
      <c r="V28" s="10"/>
      <c r="W28" s="10"/>
      <c r="X28" s="175" t="s">
        <v>110</v>
      </c>
      <c r="Y28" s="10"/>
    </row>
    <row r="29" spans="1:25" ht="15.75" customHeight="1">
      <c r="A29" s="10"/>
      <c r="B29" s="10"/>
      <c r="C29" s="10"/>
      <c r="D29" s="79"/>
      <c r="E29" s="10"/>
      <c r="F29" s="10"/>
      <c r="G29" s="10"/>
      <c r="H29" s="10"/>
      <c r="I29" s="10"/>
      <c r="J29" s="10"/>
      <c r="K29" s="10"/>
      <c r="L29" s="10"/>
      <c r="M29" s="76"/>
      <c r="N29" s="76"/>
      <c r="O29" s="10"/>
      <c r="P29" s="10"/>
      <c r="Q29" s="6" t="s">
        <v>58</v>
      </c>
      <c r="R29" s="12">
        <v>40</v>
      </c>
      <c r="S29" s="10"/>
      <c r="T29" s="10"/>
      <c r="U29" s="10"/>
      <c r="V29" s="10"/>
      <c r="W29" s="10"/>
      <c r="X29" s="176"/>
      <c r="Y29" s="10"/>
    </row>
    <row r="30" spans="1:25" ht="15.75" customHeight="1">
      <c r="A30" s="10"/>
      <c r="B30" s="10"/>
      <c r="C30" s="10"/>
      <c r="D30" s="79"/>
      <c r="E30" s="10"/>
      <c r="F30" s="10"/>
      <c r="G30" s="10"/>
      <c r="H30" s="10"/>
      <c r="I30" s="10"/>
      <c r="J30" s="10"/>
      <c r="K30" s="10"/>
      <c r="L30" s="10"/>
      <c r="M30" s="76"/>
      <c r="N30" s="76"/>
      <c r="O30" s="10"/>
      <c r="P30" s="10"/>
      <c r="Q30" s="6" t="s">
        <v>60</v>
      </c>
      <c r="R30" s="12">
        <v>30</v>
      </c>
      <c r="S30" s="10"/>
      <c r="T30" s="10"/>
      <c r="U30" s="10"/>
      <c r="V30" s="10"/>
      <c r="W30" s="10"/>
      <c r="X30" s="176"/>
      <c r="Y30" s="10"/>
    </row>
    <row r="31" spans="1:25" ht="15.75" customHeight="1">
      <c r="A31" s="10"/>
      <c r="B31" s="10"/>
      <c r="C31" s="10"/>
      <c r="D31" s="79"/>
      <c r="E31" s="10"/>
      <c r="F31" s="10"/>
      <c r="G31" s="10"/>
      <c r="H31" s="10"/>
      <c r="I31" s="10"/>
      <c r="J31" s="10"/>
      <c r="K31" s="10"/>
      <c r="L31" s="10"/>
      <c r="M31" s="76"/>
      <c r="N31" s="76"/>
      <c r="O31" s="10"/>
      <c r="P31" s="10"/>
      <c r="Q31" s="20" t="s">
        <v>61</v>
      </c>
      <c r="R31" s="21">
        <v>40</v>
      </c>
      <c r="S31" s="10"/>
      <c r="T31" s="10"/>
      <c r="U31" s="10"/>
      <c r="V31" s="10"/>
      <c r="W31" s="10"/>
      <c r="X31" s="176"/>
      <c r="Y31" s="10"/>
    </row>
    <row r="32" spans="1:25" ht="15.75" customHeight="1">
      <c r="A32" s="10"/>
      <c r="B32" s="10"/>
      <c r="C32" s="10"/>
      <c r="D32" s="79"/>
      <c r="E32" s="10"/>
      <c r="F32" s="10"/>
      <c r="G32" s="10"/>
      <c r="H32" s="10"/>
      <c r="I32" s="10"/>
      <c r="J32" s="10"/>
      <c r="K32" s="10"/>
      <c r="L32" s="10"/>
      <c r="M32" s="80"/>
      <c r="N32" s="80"/>
      <c r="O32" s="10"/>
      <c r="P32" s="10"/>
      <c r="Q32" s="6" t="s">
        <v>62</v>
      </c>
      <c r="R32" s="12">
        <v>30</v>
      </c>
      <c r="S32" s="10"/>
      <c r="T32" s="10"/>
      <c r="U32" s="10"/>
      <c r="V32" s="10"/>
      <c r="W32" s="10"/>
      <c r="X32" s="176"/>
      <c r="Y32" s="10"/>
    </row>
    <row r="33" spans="1:25" ht="15.75" customHeight="1">
      <c r="A33" s="10"/>
      <c r="B33" s="10"/>
      <c r="C33" s="10"/>
      <c r="D33" s="79"/>
      <c r="E33" s="10"/>
      <c r="F33" s="10"/>
      <c r="G33" s="10"/>
      <c r="H33" s="10"/>
      <c r="I33" s="10"/>
      <c r="J33" s="10"/>
      <c r="K33" s="10"/>
      <c r="L33" s="10"/>
      <c r="M33" s="81"/>
      <c r="N33" s="81"/>
      <c r="O33" s="10"/>
      <c r="P33" s="10"/>
      <c r="Q33" s="10"/>
      <c r="R33" s="10"/>
      <c r="S33" s="10"/>
      <c r="T33" s="10"/>
      <c r="U33" s="10"/>
      <c r="V33" s="10"/>
      <c r="W33" s="10"/>
      <c r="X33" s="176"/>
      <c r="Y33" s="10"/>
    </row>
    <row r="34" spans="1:25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76"/>
      <c r="N34" s="76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76"/>
      <c r="N35" s="76"/>
      <c r="O35" s="10"/>
      <c r="P35" s="10"/>
      <c r="S35" s="10"/>
      <c r="T35" s="10"/>
      <c r="U35" s="10"/>
      <c r="V35" s="10"/>
      <c r="W35" s="10"/>
      <c r="X35" s="10"/>
      <c r="Y35" s="10"/>
    </row>
    <row r="36" spans="1:25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76"/>
      <c r="N36" s="76"/>
      <c r="O36" s="10"/>
      <c r="P36" s="10"/>
      <c r="S36" s="10"/>
      <c r="T36" s="10"/>
      <c r="U36" s="10"/>
      <c r="V36" s="10"/>
      <c r="W36" s="10"/>
      <c r="X36" s="10"/>
      <c r="Y36" s="10"/>
    </row>
    <row r="37" spans="1:25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76"/>
      <c r="N37" s="76"/>
      <c r="O37" s="10"/>
      <c r="P37" s="10"/>
      <c r="S37" s="10"/>
      <c r="T37" s="10"/>
      <c r="U37" s="10"/>
      <c r="V37" s="10"/>
      <c r="W37" s="10"/>
      <c r="X37" s="10"/>
      <c r="Y37" s="10"/>
    </row>
    <row r="38" spans="1:25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76"/>
      <c r="N38" s="76"/>
      <c r="O38" s="10"/>
      <c r="P38" s="10"/>
      <c r="S38" s="10"/>
      <c r="T38" s="10"/>
      <c r="U38" s="10"/>
      <c r="V38" s="10"/>
      <c r="W38" s="10"/>
      <c r="X38" s="10"/>
      <c r="Y38" s="10"/>
    </row>
    <row r="39" spans="1:25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76"/>
      <c r="N39" s="76"/>
      <c r="O39" s="10"/>
      <c r="P39" s="10"/>
      <c r="S39" s="10"/>
      <c r="T39" s="10"/>
      <c r="U39" s="10"/>
      <c r="V39" s="10"/>
      <c r="W39" s="10"/>
      <c r="X39" s="10"/>
      <c r="Y39" s="10"/>
    </row>
    <row r="40" spans="1:25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76"/>
      <c r="N40" s="76"/>
      <c r="O40" s="10"/>
      <c r="P40" s="10"/>
      <c r="S40" s="10"/>
      <c r="T40" s="10"/>
      <c r="U40" s="10"/>
      <c r="V40" s="10"/>
      <c r="W40" s="10"/>
      <c r="X40" s="10"/>
      <c r="Y40" s="10"/>
    </row>
    <row r="41" spans="1:25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76"/>
      <c r="N41" s="76"/>
      <c r="O41" s="10"/>
      <c r="P41" s="10"/>
      <c r="S41" s="10"/>
      <c r="T41" s="10"/>
      <c r="U41" s="10"/>
      <c r="V41" s="10"/>
      <c r="W41" s="10"/>
      <c r="X41" s="10"/>
      <c r="Y41" s="10"/>
    </row>
    <row r="42" spans="1:25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76"/>
      <c r="N42" s="76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76"/>
      <c r="N43" s="76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7"/>
      <c r="N44" s="17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7"/>
      <c r="N45" s="17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7"/>
      <c r="N46" s="17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7"/>
      <c r="N47" s="17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7"/>
      <c r="N48" s="17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7"/>
      <c r="N49" s="17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1:2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1:25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1:25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1:25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1:25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1:2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1:25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1:25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1:25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1:25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1:25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1:25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1:25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1:25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1:2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1:25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1:25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1:25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1:25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1:25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1:25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1:25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1:2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1:25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1:25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1:25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1:25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1:25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1:25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1:25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1:25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1:25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1:2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5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5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5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5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5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:25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:25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:25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:25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:2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:25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:25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:25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:25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:25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:25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:25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:25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:25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:2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:25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:25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:25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:25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:25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:25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:25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:2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:25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:25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:25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:25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:25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:2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:25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:25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:25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:25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:25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:25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: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:25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:25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:25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:25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:25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:25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:25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:25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:25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:25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:2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:25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:25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:25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:25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:25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:25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:25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:2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:25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:25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:25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:25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:25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:25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:25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:25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:2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:25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:25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:25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:25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:25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:25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:25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:2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:25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:25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:25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:25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:25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:25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:25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:25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:25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:2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:25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:25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:25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:25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:25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:25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:25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:2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:25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:25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:25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:25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:25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:25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:25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:25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:2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:25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:25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:25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:25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:25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:25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:2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:25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:25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:25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:25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:25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:25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: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:25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:25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:25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:25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:25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:25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25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:25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:2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:25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:25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:25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:25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:25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:25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:25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:25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:25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:2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:25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:25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:25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:25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:25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:25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:25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:25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:25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:2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:25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:25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:25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:25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:25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:25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:25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:25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:25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:2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:25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:25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:25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:25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:25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:25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:2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:25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:25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:25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:25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:25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:25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:25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:25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:2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:25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:25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:25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:25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:25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:25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:25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:25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:2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:25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:25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:25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:25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:25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:25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:25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:25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:25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:2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:25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:25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:25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:25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:25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:25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:25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:25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:25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:25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:25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:25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:25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:25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:25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:25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:25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: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:25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:25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:25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:25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:25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:25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:25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:2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:25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:25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:25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:25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:25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:25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:25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:2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:25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:25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:25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:25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:25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:25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:25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:25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:2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:25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:25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:25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:25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:25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:25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:25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:25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:25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:2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:25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:25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:25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:25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:25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:25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:25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:25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:2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:25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:25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:25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:25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:25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:25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:25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:25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:25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:2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:25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:25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:25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:25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:25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:25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:25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:2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:25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:25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:25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:25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:25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:25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:25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:25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:25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:2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:25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:25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:25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:25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:25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:25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:25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:25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:25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:2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:25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:25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:25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:25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:25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:25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:25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:25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:25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: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:25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:25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:25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:25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:25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:25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:25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:25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:25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:2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:25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:25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:25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:25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:25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:25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:25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:25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:25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:2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:25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:25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:25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:25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:25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:25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:25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:25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:25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:2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:25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:25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:25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:25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:25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:25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:25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:25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:25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:2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:25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:25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:25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:25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:25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:25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:25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:25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:25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:2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:25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:25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:25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:25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:25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:25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:25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:25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:25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:2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:25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:25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:25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:25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:25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:25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:25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:25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:25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:2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:25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:25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:25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:25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:25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:25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:25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:25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:25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:2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:25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:25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:25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:25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:25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:25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:25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:25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:25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:2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:25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:25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:25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:25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:25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:25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:25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:25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:25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: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:25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:25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:25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:25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:25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:25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:25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:25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:25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:2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:25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:25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:25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:25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:25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:25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:25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:25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:25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:2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:25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:25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:25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:25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:25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:25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:25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:25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:25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:2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:25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:25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:25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:25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:25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:25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:25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:25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:25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:2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:25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:25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:25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:25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:25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:25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:25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:25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:25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:2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:25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:25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:25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:25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:25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1:25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1:25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1:25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1:25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1:2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1:25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1:25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1:25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1:25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1:25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1:25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1:25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1:25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1:25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spans="1:2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spans="1:25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spans="1:25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spans="1:25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spans="1:25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spans="1:25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mergeCells count="22">
    <mergeCell ref="A16:C21"/>
    <mergeCell ref="Y7:Y17"/>
    <mergeCell ref="H7:H21"/>
    <mergeCell ref="F23:G25"/>
    <mergeCell ref="D7:D21"/>
    <mergeCell ref="E7:E21"/>
    <mergeCell ref="I7:I21"/>
    <mergeCell ref="J7:J21"/>
    <mergeCell ref="K7:K21"/>
    <mergeCell ref="L7:L21"/>
    <mergeCell ref="M7:M14"/>
    <mergeCell ref="N7:N14"/>
    <mergeCell ref="O7:O14"/>
    <mergeCell ref="U7:U21"/>
    <mergeCell ref="V7:V21"/>
    <mergeCell ref="X7:X12"/>
    <mergeCell ref="X14:X19"/>
    <mergeCell ref="X21:X26"/>
    <mergeCell ref="X28:X33"/>
    <mergeCell ref="P15:P21"/>
    <mergeCell ref="Q16:R16"/>
    <mergeCell ref="W7:W21"/>
  </mergeCells>
  <pageMargins left="0.25" right="0.25" top="0.75" bottom="0.75" header="0" footer="0"/>
  <pageSetup scale="5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9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4.42578125" defaultRowHeight="15" customHeight="1"/>
  <cols>
    <col min="1" max="1" width="24.42578125" style="139" customWidth="1"/>
    <col min="2" max="2" width="32.85546875" style="139" customWidth="1"/>
    <col min="3" max="3" width="16.7109375" style="139" customWidth="1"/>
    <col min="4" max="4" width="13.42578125" style="139" customWidth="1"/>
    <col min="5" max="5" width="14.7109375" style="139" customWidth="1"/>
    <col min="6" max="6" width="34.5703125" style="139" customWidth="1"/>
    <col min="7" max="7" width="17" style="139" customWidth="1"/>
    <col min="8" max="8" width="12.5703125" style="139" customWidth="1"/>
    <col min="9" max="9" width="30.42578125" style="139" customWidth="1"/>
    <col min="10" max="10" width="18.5703125" style="139" customWidth="1"/>
    <col min="11" max="11" width="12.5703125" style="139" customWidth="1"/>
    <col min="12" max="12" width="8.140625" style="139" customWidth="1"/>
    <col min="13" max="13" width="12.5703125" style="139" customWidth="1"/>
    <col min="14" max="14" width="21.140625" style="139" customWidth="1"/>
    <col min="15" max="15" width="17.42578125" style="139" bestFit="1" customWidth="1"/>
    <col min="16" max="16" width="12.5703125" style="139" customWidth="1"/>
    <col min="17" max="17" width="38.28515625" style="139" customWidth="1"/>
    <col min="18" max="19" width="12.5703125" style="139" customWidth="1"/>
    <col min="20" max="20" width="46.5703125" style="139" customWidth="1"/>
    <col min="21" max="21" width="28.140625" style="139" customWidth="1"/>
    <col min="22" max="22" width="37.7109375" style="139" customWidth="1"/>
    <col min="23" max="23" width="26.140625" style="139" customWidth="1"/>
    <col min="24" max="16384" width="14.42578125" style="139"/>
  </cols>
  <sheetData>
    <row r="1" spans="1:23" ht="49.5" customHeight="1">
      <c r="A1" s="128" t="s">
        <v>63</v>
      </c>
      <c r="B1" s="129" t="s">
        <v>64</v>
      </c>
      <c r="C1" s="161" t="s">
        <v>65</v>
      </c>
      <c r="D1" s="156" t="s">
        <v>66</v>
      </c>
      <c r="E1" s="131" t="s">
        <v>111</v>
      </c>
      <c r="F1" s="132" t="s">
        <v>2</v>
      </c>
      <c r="G1" s="162" t="s">
        <v>3</v>
      </c>
      <c r="H1" s="133" t="s">
        <v>68</v>
      </c>
      <c r="I1" s="133" t="s">
        <v>112</v>
      </c>
      <c r="J1" s="133" t="s">
        <v>70</v>
      </c>
      <c r="K1" s="134" t="s">
        <v>113</v>
      </c>
      <c r="L1" s="156" t="s">
        <v>72</v>
      </c>
      <c r="M1" s="135" t="s">
        <v>73</v>
      </c>
      <c r="N1" s="135" t="s">
        <v>74</v>
      </c>
      <c r="O1" s="136" t="s">
        <v>77</v>
      </c>
      <c r="P1" s="136" t="s">
        <v>78</v>
      </c>
      <c r="Q1" s="137" t="s">
        <v>79</v>
      </c>
      <c r="R1" s="167" t="s">
        <v>80</v>
      </c>
      <c r="S1" s="133" t="s">
        <v>81</v>
      </c>
      <c r="T1" s="133" t="s">
        <v>112</v>
      </c>
      <c r="U1" s="156" t="s">
        <v>83</v>
      </c>
      <c r="V1" s="130" t="s">
        <v>84</v>
      </c>
      <c r="W1" s="138" t="s">
        <v>114</v>
      </c>
    </row>
    <row r="2" spans="1:23">
      <c r="A2" s="140"/>
      <c r="B2" s="140"/>
      <c r="C2" s="158" t="e">
        <f>VLOOKUP(B2,MAESTRO!$D$4:$E$10,2,FALSE)</f>
        <v>#N/A</v>
      </c>
      <c r="D2" s="145" t="e">
        <f>IF(C2&gt;0,1)</f>
        <v>#N/A</v>
      </c>
      <c r="E2" s="159"/>
      <c r="F2" s="140"/>
      <c r="G2" s="141" t="e">
        <f>VLOOKUP(F2,MAESTRO!$G$4:$H$14,2,FALSE)</f>
        <v>#N/A</v>
      </c>
      <c r="H2" s="140"/>
      <c r="I2" s="142"/>
      <c r="J2" s="143"/>
      <c r="K2" s="163"/>
      <c r="L2" s="145">
        <f t="shared" ref="L2:L65" ca="1" si="0">DATEDIF(K2,TODAY(),"Y")</f>
        <v>126</v>
      </c>
      <c r="M2" s="165"/>
      <c r="N2" s="144"/>
      <c r="O2" s="145">
        <f>+B2</f>
        <v>0</v>
      </c>
      <c r="P2" s="168" t="e">
        <f>IF(N2="PRIMERA",
   VLOOKUP(O2,MAESTRO!M:O,2,FALSE),
   VLOOKUP(O2,MAESTRO!M:O,3,FALSE)
)</f>
        <v>#N/A</v>
      </c>
      <c r="Q2" s="146"/>
      <c r="R2" s="140" t="e">
        <f>VLOOKUP(Q2,MAESTRO!$P$5:$Q$8,2,FALSE)</f>
        <v>#N/A</v>
      </c>
      <c r="S2" s="147" t="str">
        <f t="shared" ref="S2:S256" si="1">IF(Q2="TITULAR",H2,"NO ES TITULAR")</f>
        <v>NO ES TITULAR</v>
      </c>
      <c r="T2" s="153" t="str">
        <f t="shared" ref="T2:T256" si="2">IF(Q2="TITULAR",I2,"NO ES TITULAR")</f>
        <v>NO ES TITULAR</v>
      </c>
      <c r="U2" s="157"/>
      <c r="V2" s="155"/>
      <c r="W2" s="140"/>
    </row>
    <row r="3" spans="1:23">
      <c r="A3" s="148"/>
      <c r="B3" s="140"/>
      <c r="C3" s="158" t="e">
        <f>VLOOKUP(B3,MAESTRO!$D$4:$E$10,2,FALSE)</f>
        <v>#N/A</v>
      </c>
      <c r="D3" s="145" t="e">
        <f>IF(C3&gt;0,1+D2)</f>
        <v>#N/A</v>
      </c>
      <c r="E3" s="160"/>
      <c r="F3" s="140"/>
      <c r="G3" s="141" t="e">
        <f>VLOOKUP(F3,MAESTRO!$G$4:$H$14,2,FALSE)</f>
        <v>#N/A</v>
      </c>
      <c r="H3" s="140"/>
      <c r="I3" s="140"/>
      <c r="J3" s="143"/>
      <c r="K3" s="163"/>
      <c r="L3" s="145">
        <f t="shared" ca="1" si="0"/>
        <v>126</v>
      </c>
      <c r="M3" s="166"/>
      <c r="N3" s="144"/>
      <c r="O3" s="145">
        <f t="shared" ref="O3:O66" si="3">+B3</f>
        <v>0</v>
      </c>
      <c r="P3" s="168" t="e">
        <f>IF(N3="PRIMERA",
   VLOOKUP(O3,MAESTRO!M:O,2,FALSE),
   VLOOKUP(O3,MAESTRO!M:O,3,FALSE)
)</f>
        <v>#N/A</v>
      </c>
      <c r="Q3" s="148"/>
      <c r="R3" s="148" t="e">
        <f>VLOOKUP(Q3,MAESTRO!$P$5:$Q$8,2,FALSE)</f>
        <v>#N/A</v>
      </c>
      <c r="S3" s="149" t="str">
        <f t="shared" si="1"/>
        <v>NO ES TITULAR</v>
      </c>
      <c r="T3" s="154" t="str">
        <f t="shared" si="2"/>
        <v>NO ES TITULAR</v>
      </c>
      <c r="U3" s="157"/>
      <c r="V3" s="155"/>
      <c r="W3" s="140"/>
    </row>
    <row r="4" spans="1:23">
      <c r="A4" s="148"/>
      <c r="B4" s="140"/>
      <c r="C4" s="158" t="e">
        <f>VLOOKUP(B4,MAESTRO!$D$4:$E$10,2,FALSE)</f>
        <v>#N/A</v>
      </c>
      <c r="D4" s="145" t="e">
        <f t="shared" ref="D4:D67" si="4">IF(C4&gt;0,1+D3)</f>
        <v>#N/A</v>
      </c>
      <c r="E4" s="160"/>
      <c r="F4" s="140"/>
      <c r="G4" s="141" t="e">
        <f>VLOOKUP(F4,MAESTRO!$G$4:$H$14,2,FALSE)</f>
        <v>#N/A</v>
      </c>
      <c r="H4" s="140"/>
      <c r="I4" s="140"/>
      <c r="J4" s="143"/>
      <c r="K4" s="163"/>
      <c r="L4" s="145">
        <f t="shared" ca="1" si="0"/>
        <v>126</v>
      </c>
      <c r="M4" s="166"/>
      <c r="N4" s="144"/>
      <c r="O4" s="145">
        <f t="shared" si="3"/>
        <v>0</v>
      </c>
      <c r="P4" s="168" t="e">
        <f>IF(N4="PRIMERA",
   VLOOKUP(O4,MAESTRO!M:O,2,FALSE),
   VLOOKUP(O4,MAESTRO!M:O,3,FALSE)
)</f>
        <v>#N/A</v>
      </c>
      <c r="Q4" s="148"/>
      <c r="R4" s="148" t="e">
        <f>VLOOKUP(Q4,MAESTRO!$P$5:$Q$8,2,FALSE)</f>
        <v>#N/A</v>
      </c>
      <c r="S4" s="149" t="str">
        <f t="shared" si="1"/>
        <v>NO ES TITULAR</v>
      </c>
      <c r="T4" s="154" t="str">
        <f t="shared" si="2"/>
        <v>NO ES TITULAR</v>
      </c>
      <c r="U4" s="157"/>
      <c r="V4" s="155"/>
      <c r="W4" s="140"/>
    </row>
    <row r="5" spans="1:23">
      <c r="A5" s="148"/>
      <c r="B5" s="140"/>
      <c r="C5" s="158" t="e">
        <f>VLOOKUP(B5,MAESTRO!$D$4:$E$10,2,FALSE)</f>
        <v>#N/A</v>
      </c>
      <c r="D5" s="145" t="e">
        <f t="shared" si="4"/>
        <v>#N/A</v>
      </c>
      <c r="E5" s="160"/>
      <c r="F5" s="140"/>
      <c r="G5" s="141" t="e">
        <f>VLOOKUP(F5,MAESTRO!$G$4:$H$14,2,FALSE)</f>
        <v>#N/A</v>
      </c>
      <c r="H5" s="140"/>
      <c r="I5" s="140"/>
      <c r="J5" s="143"/>
      <c r="K5" s="163"/>
      <c r="L5" s="145">
        <f t="shared" ca="1" si="0"/>
        <v>126</v>
      </c>
      <c r="M5" s="166"/>
      <c r="N5" s="144"/>
      <c r="O5" s="145">
        <f t="shared" si="3"/>
        <v>0</v>
      </c>
      <c r="P5" s="168" t="e">
        <f>IF(N5="PRIMERA",
   VLOOKUP(O5,MAESTRO!M:O,2,FALSE),
   VLOOKUP(O5,MAESTRO!M:O,3,FALSE)
)</f>
        <v>#N/A</v>
      </c>
      <c r="Q5" s="148"/>
      <c r="R5" s="148" t="e">
        <f>VLOOKUP(Q5,MAESTRO!$P$5:$Q$8,2,FALSE)</f>
        <v>#N/A</v>
      </c>
      <c r="S5" s="149" t="str">
        <f t="shared" si="1"/>
        <v>NO ES TITULAR</v>
      </c>
      <c r="T5" s="154" t="str">
        <f t="shared" si="2"/>
        <v>NO ES TITULAR</v>
      </c>
      <c r="U5" s="157"/>
      <c r="V5" s="155"/>
      <c r="W5" s="140"/>
    </row>
    <row r="6" spans="1:23">
      <c r="A6" s="148"/>
      <c r="B6" s="140"/>
      <c r="C6" s="158" t="e">
        <f>VLOOKUP(B6,MAESTRO!$D$4:$E$10,2,FALSE)</f>
        <v>#N/A</v>
      </c>
      <c r="D6" s="145" t="e">
        <f t="shared" si="4"/>
        <v>#N/A</v>
      </c>
      <c r="E6" s="160"/>
      <c r="F6" s="140"/>
      <c r="G6" s="141" t="e">
        <f>VLOOKUP(F6,MAESTRO!$G$4:$H$14,2,FALSE)</f>
        <v>#N/A</v>
      </c>
      <c r="H6" s="140"/>
      <c r="I6" s="140"/>
      <c r="J6" s="143"/>
      <c r="K6" s="163"/>
      <c r="L6" s="145">
        <f t="shared" ca="1" si="0"/>
        <v>126</v>
      </c>
      <c r="M6" s="166"/>
      <c r="N6" s="144"/>
      <c r="O6" s="145">
        <f t="shared" si="3"/>
        <v>0</v>
      </c>
      <c r="P6" s="168" t="e">
        <f>IF(N6="PRIMERA",
   VLOOKUP(O6,MAESTRO!M:O,2,FALSE),
   VLOOKUP(O6,MAESTRO!M:O,3,FALSE)
)</f>
        <v>#N/A</v>
      </c>
      <c r="Q6" s="148"/>
      <c r="R6" s="148" t="e">
        <f>VLOOKUP(Q6,MAESTRO!$P$5:$Q$8,2,FALSE)</f>
        <v>#N/A</v>
      </c>
      <c r="S6" s="149" t="str">
        <f t="shared" si="1"/>
        <v>NO ES TITULAR</v>
      </c>
      <c r="T6" s="154" t="str">
        <f t="shared" si="2"/>
        <v>NO ES TITULAR</v>
      </c>
      <c r="U6" s="157"/>
      <c r="V6" s="155"/>
      <c r="W6" s="140"/>
    </row>
    <row r="7" spans="1:23">
      <c r="A7" s="148"/>
      <c r="B7" s="140"/>
      <c r="C7" s="158" t="e">
        <f>VLOOKUP(B7,MAESTRO!$D$4:$E$10,2,FALSE)</f>
        <v>#N/A</v>
      </c>
      <c r="D7" s="145" t="e">
        <f t="shared" si="4"/>
        <v>#N/A</v>
      </c>
      <c r="E7" s="160"/>
      <c r="F7" s="140"/>
      <c r="G7" s="141" t="e">
        <f>VLOOKUP(F7,MAESTRO!$G$4:$H$14,2,FALSE)</f>
        <v>#N/A</v>
      </c>
      <c r="H7" s="140"/>
      <c r="I7" s="140"/>
      <c r="J7" s="143"/>
      <c r="K7" s="163"/>
      <c r="L7" s="145">
        <f t="shared" ca="1" si="0"/>
        <v>126</v>
      </c>
      <c r="M7" s="166"/>
      <c r="N7" s="144"/>
      <c r="O7" s="145">
        <f t="shared" si="3"/>
        <v>0</v>
      </c>
      <c r="P7" s="168" t="e">
        <f>IF(N7="PRIMERA",
   VLOOKUP(O7,MAESTRO!M:O,2,FALSE),
   VLOOKUP(O7,MAESTRO!M:O,3,FALSE)
)</f>
        <v>#N/A</v>
      </c>
      <c r="Q7" s="148"/>
      <c r="R7" s="148" t="e">
        <f>VLOOKUP(Q7,MAESTRO!$P$5:$Q$8,2,FALSE)</f>
        <v>#N/A</v>
      </c>
      <c r="S7" s="149" t="str">
        <f t="shared" si="1"/>
        <v>NO ES TITULAR</v>
      </c>
      <c r="T7" s="154" t="str">
        <f t="shared" si="2"/>
        <v>NO ES TITULAR</v>
      </c>
      <c r="U7" s="157"/>
      <c r="V7" s="155"/>
      <c r="W7" s="140"/>
    </row>
    <row r="8" spans="1:23">
      <c r="A8" s="148"/>
      <c r="B8" s="140"/>
      <c r="C8" s="158" t="e">
        <f>VLOOKUP(B8,MAESTRO!$D$4:$E$10,2,FALSE)</f>
        <v>#N/A</v>
      </c>
      <c r="D8" s="145" t="e">
        <f t="shared" si="4"/>
        <v>#N/A</v>
      </c>
      <c r="E8" s="160"/>
      <c r="F8" s="140"/>
      <c r="G8" s="141" t="e">
        <f>VLOOKUP(F8,MAESTRO!$G$4:$H$14,2,FALSE)</f>
        <v>#N/A</v>
      </c>
      <c r="H8" s="140"/>
      <c r="I8" s="140"/>
      <c r="J8" s="143"/>
      <c r="K8" s="163"/>
      <c r="L8" s="145">
        <f t="shared" ca="1" si="0"/>
        <v>126</v>
      </c>
      <c r="M8" s="166"/>
      <c r="N8" s="144"/>
      <c r="O8" s="145">
        <f t="shared" si="3"/>
        <v>0</v>
      </c>
      <c r="P8" s="168" t="e">
        <f>IF(N8="PRIMERA",
   VLOOKUP(O8,MAESTRO!M:O,2,FALSE),
   VLOOKUP(O8,MAESTRO!M:O,3,FALSE)
)</f>
        <v>#N/A</v>
      </c>
      <c r="Q8" s="148"/>
      <c r="R8" s="148" t="e">
        <f>VLOOKUP(Q8,MAESTRO!$P$5:$Q$8,2,FALSE)</f>
        <v>#N/A</v>
      </c>
      <c r="S8" s="149" t="str">
        <f t="shared" si="1"/>
        <v>NO ES TITULAR</v>
      </c>
      <c r="T8" s="154" t="str">
        <f t="shared" si="2"/>
        <v>NO ES TITULAR</v>
      </c>
      <c r="U8" s="157"/>
      <c r="V8" s="155"/>
      <c r="W8" s="140"/>
    </row>
    <row r="9" spans="1:23">
      <c r="A9" s="148"/>
      <c r="B9" s="140"/>
      <c r="C9" s="158" t="e">
        <f>VLOOKUP(B9,MAESTRO!$D$4:$E$10,2,FALSE)</f>
        <v>#N/A</v>
      </c>
      <c r="D9" s="145" t="e">
        <f t="shared" si="4"/>
        <v>#N/A</v>
      </c>
      <c r="E9" s="160"/>
      <c r="F9" s="140"/>
      <c r="G9" s="141" t="e">
        <f>VLOOKUP(F9,MAESTRO!$G$4:$H$14,2,FALSE)</f>
        <v>#N/A</v>
      </c>
      <c r="H9" s="140"/>
      <c r="I9" s="140"/>
      <c r="J9" s="143"/>
      <c r="K9" s="163"/>
      <c r="L9" s="145">
        <f t="shared" ca="1" si="0"/>
        <v>126</v>
      </c>
      <c r="M9" s="166"/>
      <c r="N9" s="144"/>
      <c r="O9" s="145">
        <f t="shared" si="3"/>
        <v>0</v>
      </c>
      <c r="P9" s="168" t="e">
        <f>IF(N9="PRIMERA",
   VLOOKUP(O9,MAESTRO!M:O,2,FALSE),
   VLOOKUP(O9,MAESTRO!M:O,3,FALSE)
)</f>
        <v>#N/A</v>
      </c>
      <c r="Q9" s="148"/>
      <c r="R9" s="148" t="e">
        <f>VLOOKUP(Q9,MAESTRO!$P$5:$Q$8,2,FALSE)</f>
        <v>#N/A</v>
      </c>
      <c r="S9" s="149" t="str">
        <f t="shared" si="1"/>
        <v>NO ES TITULAR</v>
      </c>
      <c r="T9" s="154" t="str">
        <f t="shared" si="2"/>
        <v>NO ES TITULAR</v>
      </c>
      <c r="U9" s="157"/>
      <c r="V9" s="155"/>
      <c r="W9" s="140"/>
    </row>
    <row r="10" spans="1:23">
      <c r="A10" s="148"/>
      <c r="B10" s="140"/>
      <c r="C10" s="158" t="e">
        <f>VLOOKUP(B10,MAESTRO!$D$4:$E$10,2,FALSE)</f>
        <v>#N/A</v>
      </c>
      <c r="D10" s="145" t="e">
        <f t="shared" si="4"/>
        <v>#N/A</v>
      </c>
      <c r="E10" s="160"/>
      <c r="F10" s="140"/>
      <c r="G10" s="141" t="e">
        <f>VLOOKUP(F10,MAESTRO!$G$4:$H$14,2,FALSE)</f>
        <v>#N/A</v>
      </c>
      <c r="H10" s="140"/>
      <c r="I10" s="140"/>
      <c r="J10" s="143"/>
      <c r="K10" s="163"/>
      <c r="L10" s="145">
        <f t="shared" ca="1" si="0"/>
        <v>126</v>
      </c>
      <c r="M10" s="166"/>
      <c r="N10" s="144"/>
      <c r="O10" s="145">
        <f t="shared" si="3"/>
        <v>0</v>
      </c>
      <c r="P10" s="168" t="e">
        <f>IF(N10="PRIMERA",
   VLOOKUP(O10,MAESTRO!M:O,2,FALSE),
   VLOOKUP(O10,MAESTRO!M:O,3,FALSE)
)</f>
        <v>#N/A</v>
      </c>
      <c r="Q10" s="148"/>
      <c r="R10" s="148" t="e">
        <f>VLOOKUP(Q10,MAESTRO!$P$5:$Q$8,2,FALSE)</f>
        <v>#N/A</v>
      </c>
      <c r="S10" s="149" t="str">
        <f t="shared" si="1"/>
        <v>NO ES TITULAR</v>
      </c>
      <c r="T10" s="154" t="str">
        <f t="shared" si="2"/>
        <v>NO ES TITULAR</v>
      </c>
      <c r="U10" s="157"/>
      <c r="V10" s="155"/>
      <c r="W10" s="140"/>
    </row>
    <row r="11" spans="1:23">
      <c r="A11" s="148"/>
      <c r="B11" s="140"/>
      <c r="C11" s="158" t="e">
        <f>VLOOKUP(B11,MAESTRO!$D$4:$E$10,2,FALSE)</f>
        <v>#N/A</v>
      </c>
      <c r="D11" s="145" t="e">
        <f t="shared" si="4"/>
        <v>#N/A</v>
      </c>
      <c r="E11" s="160"/>
      <c r="F11" s="140"/>
      <c r="G11" s="141" t="e">
        <f>VLOOKUP(F11,MAESTRO!$G$4:$H$14,2,FALSE)</f>
        <v>#N/A</v>
      </c>
      <c r="H11" s="140"/>
      <c r="I11" s="140"/>
      <c r="J11" s="143"/>
      <c r="K11" s="163"/>
      <c r="L11" s="145">
        <f t="shared" ca="1" si="0"/>
        <v>126</v>
      </c>
      <c r="M11" s="166"/>
      <c r="N11" s="144"/>
      <c r="O11" s="145">
        <f t="shared" si="3"/>
        <v>0</v>
      </c>
      <c r="P11" s="168" t="e">
        <f>IF(N11="PRIMERA",
   VLOOKUP(O11,MAESTRO!M:O,2,FALSE),
   VLOOKUP(O11,MAESTRO!M:O,3,FALSE)
)</f>
        <v>#N/A</v>
      </c>
      <c r="Q11" s="148"/>
      <c r="R11" s="148" t="e">
        <f>VLOOKUP(Q11,MAESTRO!$P$5:$Q$8,2,FALSE)</f>
        <v>#N/A</v>
      </c>
      <c r="S11" s="149" t="str">
        <f t="shared" si="1"/>
        <v>NO ES TITULAR</v>
      </c>
      <c r="T11" s="154" t="str">
        <f t="shared" si="2"/>
        <v>NO ES TITULAR</v>
      </c>
      <c r="U11" s="157"/>
      <c r="V11" s="155"/>
      <c r="W11" s="140"/>
    </row>
    <row r="12" spans="1:23">
      <c r="A12" s="148"/>
      <c r="B12" s="140"/>
      <c r="C12" s="158" t="e">
        <f>VLOOKUP(B12,MAESTRO!$D$4:$E$10,2,FALSE)</f>
        <v>#N/A</v>
      </c>
      <c r="D12" s="145" t="e">
        <f t="shared" si="4"/>
        <v>#N/A</v>
      </c>
      <c r="E12" s="160"/>
      <c r="F12" s="140"/>
      <c r="G12" s="141" t="e">
        <f>VLOOKUP(F12,MAESTRO!$G$4:$H$14,2,FALSE)</f>
        <v>#N/A</v>
      </c>
      <c r="H12" s="140"/>
      <c r="I12" s="140"/>
      <c r="J12" s="143"/>
      <c r="K12" s="163"/>
      <c r="L12" s="145">
        <f t="shared" ca="1" si="0"/>
        <v>126</v>
      </c>
      <c r="M12" s="166"/>
      <c r="N12" s="144"/>
      <c r="O12" s="145">
        <f t="shared" si="3"/>
        <v>0</v>
      </c>
      <c r="P12" s="168" t="e">
        <f>IF(N12="PRIMERA",
   VLOOKUP(O12,MAESTRO!M:O,2,FALSE),
   VLOOKUP(O12,MAESTRO!M:O,3,FALSE)
)</f>
        <v>#N/A</v>
      </c>
      <c r="Q12" s="148"/>
      <c r="R12" s="148" t="e">
        <f>VLOOKUP(Q12,MAESTRO!$P$5:$Q$8,2,FALSE)</f>
        <v>#N/A</v>
      </c>
      <c r="S12" s="149" t="str">
        <f t="shared" si="1"/>
        <v>NO ES TITULAR</v>
      </c>
      <c r="T12" s="154" t="str">
        <f t="shared" si="2"/>
        <v>NO ES TITULAR</v>
      </c>
      <c r="U12" s="157"/>
      <c r="V12" s="155"/>
      <c r="W12" s="140"/>
    </row>
    <row r="13" spans="1:23">
      <c r="A13" s="148"/>
      <c r="B13" s="140"/>
      <c r="C13" s="158" t="e">
        <f>VLOOKUP(B13,MAESTRO!$D$4:$E$10,2,FALSE)</f>
        <v>#N/A</v>
      </c>
      <c r="D13" s="145" t="e">
        <f t="shared" si="4"/>
        <v>#N/A</v>
      </c>
      <c r="E13" s="160"/>
      <c r="F13" s="140"/>
      <c r="G13" s="141" t="e">
        <f>VLOOKUP(F13,MAESTRO!$G$4:$H$14,2,FALSE)</f>
        <v>#N/A</v>
      </c>
      <c r="H13" s="140"/>
      <c r="I13" s="140"/>
      <c r="J13" s="143"/>
      <c r="K13" s="163"/>
      <c r="L13" s="145">
        <f t="shared" ca="1" si="0"/>
        <v>126</v>
      </c>
      <c r="M13" s="166"/>
      <c r="N13" s="144"/>
      <c r="O13" s="145">
        <f t="shared" si="3"/>
        <v>0</v>
      </c>
      <c r="P13" s="168" t="e">
        <f>IF(N13="PRIMERA",
   VLOOKUP(O13,MAESTRO!M:O,2,FALSE),
   VLOOKUP(O13,MAESTRO!M:O,3,FALSE)
)</f>
        <v>#N/A</v>
      </c>
      <c r="Q13" s="148"/>
      <c r="R13" s="148" t="e">
        <f>VLOOKUP(Q13,MAESTRO!$P$5:$Q$8,2,FALSE)</f>
        <v>#N/A</v>
      </c>
      <c r="S13" s="149" t="str">
        <f t="shared" si="1"/>
        <v>NO ES TITULAR</v>
      </c>
      <c r="T13" s="154" t="str">
        <f t="shared" si="2"/>
        <v>NO ES TITULAR</v>
      </c>
      <c r="U13" s="157"/>
      <c r="V13" s="155"/>
      <c r="W13" s="140"/>
    </row>
    <row r="14" spans="1:23">
      <c r="A14" s="148"/>
      <c r="B14" s="140"/>
      <c r="C14" s="158" t="e">
        <f>VLOOKUP(B14,MAESTRO!$D$4:$E$10,2,FALSE)</f>
        <v>#N/A</v>
      </c>
      <c r="D14" s="145" t="e">
        <f t="shared" si="4"/>
        <v>#N/A</v>
      </c>
      <c r="E14" s="160"/>
      <c r="F14" s="140"/>
      <c r="G14" s="141" t="e">
        <f>VLOOKUP(F14,MAESTRO!$G$4:$H$14,2,FALSE)</f>
        <v>#N/A</v>
      </c>
      <c r="H14" s="140"/>
      <c r="I14" s="152"/>
      <c r="J14" s="143"/>
      <c r="K14" s="164"/>
      <c r="L14" s="145">
        <f t="shared" ca="1" si="0"/>
        <v>126</v>
      </c>
      <c r="M14" s="166"/>
      <c r="N14" s="144"/>
      <c r="O14" s="145">
        <f t="shared" si="3"/>
        <v>0</v>
      </c>
      <c r="P14" s="168" t="e">
        <f>IF(N14="PRIMERA",
   VLOOKUP(O14,MAESTRO!M:O,2,FALSE),
   VLOOKUP(O14,MAESTRO!M:O,3,FALSE)
)</f>
        <v>#N/A</v>
      </c>
      <c r="Q14" s="148"/>
      <c r="R14" s="148" t="e">
        <f>VLOOKUP(Q14,MAESTRO!$P$5:$Q$8,2,FALSE)</f>
        <v>#N/A</v>
      </c>
      <c r="S14" s="149" t="str">
        <f t="shared" si="1"/>
        <v>NO ES TITULAR</v>
      </c>
      <c r="T14" s="154" t="str">
        <f t="shared" si="2"/>
        <v>NO ES TITULAR</v>
      </c>
      <c r="U14" s="157"/>
      <c r="V14" s="155"/>
      <c r="W14" s="140"/>
    </row>
    <row r="15" spans="1:23">
      <c r="A15" s="148"/>
      <c r="B15" s="148"/>
      <c r="C15" s="158" t="e">
        <f>VLOOKUP(B15,MAESTRO!$D$4:$E$10,2,FALSE)</f>
        <v>#N/A</v>
      </c>
      <c r="D15" s="145" t="e">
        <f t="shared" si="4"/>
        <v>#N/A</v>
      </c>
      <c r="E15" s="160"/>
      <c r="F15" s="140"/>
      <c r="G15" s="141" t="e">
        <f>VLOOKUP(F15,MAESTRO!$G$4:$H$14,2,FALSE)</f>
        <v>#N/A</v>
      </c>
      <c r="H15" s="140"/>
      <c r="I15" s="140"/>
      <c r="J15" s="143"/>
      <c r="K15" s="163"/>
      <c r="L15" s="145">
        <f t="shared" ca="1" si="0"/>
        <v>126</v>
      </c>
      <c r="M15" s="166"/>
      <c r="N15" s="144"/>
      <c r="O15" s="145">
        <f t="shared" si="3"/>
        <v>0</v>
      </c>
      <c r="P15" s="168" t="e">
        <f>IF(N15="PRIMERA",
   VLOOKUP(O15,MAESTRO!M:O,2,FALSE),
   VLOOKUP(O15,MAESTRO!M:O,3,FALSE)
)</f>
        <v>#N/A</v>
      </c>
      <c r="Q15" s="148"/>
      <c r="R15" s="148" t="e">
        <f>VLOOKUP(Q15,MAESTRO!$P$5:$Q$8,2,FALSE)</f>
        <v>#N/A</v>
      </c>
      <c r="S15" s="149" t="str">
        <f t="shared" si="1"/>
        <v>NO ES TITULAR</v>
      </c>
      <c r="T15" s="154" t="str">
        <f t="shared" si="2"/>
        <v>NO ES TITULAR</v>
      </c>
      <c r="U15" s="157"/>
      <c r="V15" s="155"/>
      <c r="W15" s="140"/>
    </row>
    <row r="16" spans="1:23">
      <c r="A16" s="148"/>
      <c r="B16" s="148"/>
      <c r="C16" s="158" t="e">
        <f>VLOOKUP(B16,MAESTRO!$D$4:$E$10,2,FALSE)</f>
        <v>#N/A</v>
      </c>
      <c r="D16" s="145" t="e">
        <f t="shared" si="4"/>
        <v>#N/A</v>
      </c>
      <c r="E16" s="160"/>
      <c r="F16" s="140"/>
      <c r="G16" s="141" t="e">
        <f>VLOOKUP(F16,MAESTRO!$G$4:$H$14,2,FALSE)</f>
        <v>#N/A</v>
      </c>
      <c r="H16" s="140"/>
      <c r="I16" s="140"/>
      <c r="J16" s="143"/>
      <c r="K16" s="163"/>
      <c r="L16" s="145">
        <f t="shared" ca="1" si="0"/>
        <v>126</v>
      </c>
      <c r="M16" s="166"/>
      <c r="N16" s="144"/>
      <c r="O16" s="145">
        <f t="shared" si="3"/>
        <v>0</v>
      </c>
      <c r="P16" s="168" t="e">
        <f>IF(N16="PRIMERA",
   VLOOKUP(O16,MAESTRO!M:O,2,FALSE),
   VLOOKUP(O16,MAESTRO!M:O,3,FALSE)
)</f>
        <v>#N/A</v>
      </c>
      <c r="Q16" s="148"/>
      <c r="R16" s="148" t="e">
        <f>VLOOKUP(Q16,MAESTRO!$P$5:$Q$8,2,FALSE)</f>
        <v>#N/A</v>
      </c>
      <c r="S16" s="149" t="str">
        <f t="shared" si="1"/>
        <v>NO ES TITULAR</v>
      </c>
      <c r="T16" s="154" t="str">
        <f t="shared" si="2"/>
        <v>NO ES TITULAR</v>
      </c>
      <c r="U16" s="157"/>
      <c r="V16" s="155"/>
      <c r="W16" s="140"/>
    </row>
    <row r="17" spans="1:23">
      <c r="A17" s="148"/>
      <c r="B17" s="148"/>
      <c r="C17" s="158" t="e">
        <f>VLOOKUP(B17,MAESTRO!$D$4:$E$10,2,FALSE)</f>
        <v>#N/A</v>
      </c>
      <c r="D17" s="145" t="e">
        <f t="shared" si="4"/>
        <v>#N/A</v>
      </c>
      <c r="E17" s="160"/>
      <c r="F17" s="140"/>
      <c r="G17" s="141" t="e">
        <f>VLOOKUP(F17,MAESTRO!$G$4:$H$14,2,FALSE)</f>
        <v>#N/A</v>
      </c>
      <c r="H17" s="140"/>
      <c r="I17" s="140"/>
      <c r="J17" s="143"/>
      <c r="K17" s="163"/>
      <c r="L17" s="145">
        <f t="shared" ca="1" si="0"/>
        <v>126</v>
      </c>
      <c r="M17" s="166"/>
      <c r="N17" s="144"/>
      <c r="O17" s="145">
        <f t="shared" si="3"/>
        <v>0</v>
      </c>
      <c r="P17" s="168" t="e">
        <f>IF(N17="PRIMERA",
   VLOOKUP(O17,MAESTRO!M:O,2,FALSE),
   VLOOKUP(O17,MAESTRO!M:O,3,FALSE)
)</f>
        <v>#N/A</v>
      </c>
      <c r="Q17" s="148"/>
      <c r="R17" s="148" t="e">
        <f>VLOOKUP(Q17,MAESTRO!$P$5:$Q$8,2,FALSE)</f>
        <v>#N/A</v>
      </c>
      <c r="S17" s="149" t="str">
        <f t="shared" si="1"/>
        <v>NO ES TITULAR</v>
      </c>
      <c r="T17" s="154" t="str">
        <f t="shared" si="2"/>
        <v>NO ES TITULAR</v>
      </c>
      <c r="U17" s="157"/>
      <c r="V17" s="155"/>
      <c r="W17" s="140"/>
    </row>
    <row r="18" spans="1:23">
      <c r="A18" s="148"/>
      <c r="B18" s="148"/>
      <c r="C18" s="158" t="e">
        <f>VLOOKUP(B18,MAESTRO!$D$4:$E$10,2,FALSE)</f>
        <v>#N/A</v>
      </c>
      <c r="D18" s="145" t="e">
        <f t="shared" si="4"/>
        <v>#N/A</v>
      </c>
      <c r="E18" s="160"/>
      <c r="F18" s="140"/>
      <c r="G18" s="141" t="e">
        <f>VLOOKUP(F18,MAESTRO!$G$4:$H$14,2,FALSE)</f>
        <v>#N/A</v>
      </c>
      <c r="H18" s="140"/>
      <c r="I18" s="140"/>
      <c r="J18" s="143"/>
      <c r="K18" s="163"/>
      <c r="L18" s="145">
        <f t="shared" ca="1" si="0"/>
        <v>126</v>
      </c>
      <c r="M18" s="166"/>
      <c r="N18" s="144"/>
      <c r="O18" s="145">
        <f t="shared" si="3"/>
        <v>0</v>
      </c>
      <c r="P18" s="168" t="e">
        <f>IF(N18="PRIMERA",
   VLOOKUP(O18,MAESTRO!M:O,2,FALSE),
   VLOOKUP(O18,MAESTRO!M:O,3,FALSE)
)</f>
        <v>#N/A</v>
      </c>
      <c r="Q18" s="148"/>
      <c r="R18" s="148" t="e">
        <f>VLOOKUP(Q18,MAESTRO!$P$5:$Q$8,2,FALSE)</f>
        <v>#N/A</v>
      </c>
      <c r="S18" s="149" t="str">
        <f t="shared" si="1"/>
        <v>NO ES TITULAR</v>
      </c>
      <c r="T18" s="154" t="str">
        <f t="shared" si="2"/>
        <v>NO ES TITULAR</v>
      </c>
      <c r="U18" s="157"/>
      <c r="V18" s="155"/>
      <c r="W18" s="140"/>
    </row>
    <row r="19" spans="1:23" ht="15.75" customHeight="1">
      <c r="A19" s="148"/>
      <c r="B19" s="148"/>
      <c r="C19" s="158" t="e">
        <f>VLOOKUP(B19,MAESTRO!$D$4:$E$10,2,FALSE)</f>
        <v>#N/A</v>
      </c>
      <c r="D19" s="145" t="e">
        <f t="shared" si="4"/>
        <v>#N/A</v>
      </c>
      <c r="E19" s="160"/>
      <c r="F19" s="140"/>
      <c r="G19" s="141" t="e">
        <f>VLOOKUP(F19,MAESTRO!$G$4:$H$14,2,FALSE)</f>
        <v>#N/A</v>
      </c>
      <c r="H19" s="140"/>
      <c r="I19" s="140"/>
      <c r="J19" s="143"/>
      <c r="K19" s="163"/>
      <c r="L19" s="145">
        <f t="shared" ca="1" si="0"/>
        <v>126</v>
      </c>
      <c r="M19" s="166"/>
      <c r="N19" s="144"/>
      <c r="O19" s="145">
        <f t="shared" si="3"/>
        <v>0</v>
      </c>
      <c r="P19" s="168" t="e">
        <f>IF(N19="PRIMERA",
   VLOOKUP(O19,MAESTRO!M:O,2,FALSE),
   VLOOKUP(O19,MAESTRO!M:O,3,FALSE)
)</f>
        <v>#N/A</v>
      </c>
      <c r="Q19" s="148"/>
      <c r="R19" s="148" t="e">
        <f>VLOOKUP(Q19,MAESTRO!$P$5:$Q$8,2,FALSE)</f>
        <v>#N/A</v>
      </c>
      <c r="S19" s="149" t="str">
        <f t="shared" si="1"/>
        <v>NO ES TITULAR</v>
      </c>
      <c r="T19" s="154" t="str">
        <f t="shared" si="2"/>
        <v>NO ES TITULAR</v>
      </c>
      <c r="U19" s="157"/>
      <c r="V19" s="155"/>
      <c r="W19" s="140"/>
    </row>
    <row r="20" spans="1:23" ht="15.75" customHeight="1">
      <c r="A20" s="148"/>
      <c r="B20" s="148"/>
      <c r="C20" s="158" t="e">
        <f>VLOOKUP(B20,MAESTRO!$D$4:$E$10,2,FALSE)</f>
        <v>#N/A</v>
      </c>
      <c r="D20" s="145" t="e">
        <f t="shared" si="4"/>
        <v>#N/A</v>
      </c>
      <c r="E20" s="160"/>
      <c r="F20" s="140"/>
      <c r="G20" s="141" t="e">
        <f>VLOOKUP(F20,MAESTRO!$G$4:$H$14,2,FALSE)</f>
        <v>#N/A</v>
      </c>
      <c r="H20" s="140"/>
      <c r="I20" s="140"/>
      <c r="J20" s="143"/>
      <c r="K20" s="163"/>
      <c r="L20" s="145">
        <f t="shared" ca="1" si="0"/>
        <v>126</v>
      </c>
      <c r="M20" s="166"/>
      <c r="N20" s="144"/>
      <c r="O20" s="145">
        <f t="shared" si="3"/>
        <v>0</v>
      </c>
      <c r="P20" s="168" t="e">
        <f>IF(N20="PRIMERA",
   VLOOKUP(O20,MAESTRO!M:O,2,FALSE),
   VLOOKUP(O20,MAESTRO!M:O,3,FALSE)
)</f>
        <v>#N/A</v>
      </c>
      <c r="Q20" s="148"/>
      <c r="R20" s="148" t="e">
        <f>VLOOKUP(Q20,MAESTRO!$P$5:$Q$8,2,FALSE)</f>
        <v>#N/A</v>
      </c>
      <c r="S20" s="149" t="str">
        <f t="shared" si="1"/>
        <v>NO ES TITULAR</v>
      </c>
      <c r="T20" s="154" t="str">
        <f t="shared" si="2"/>
        <v>NO ES TITULAR</v>
      </c>
      <c r="U20" s="157"/>
      <c r="V20" s="155"/>
      <c r="W20" s="140"/>
    </row>
    <row r="21" spans="1:23" ht="15.75" customHeight="1">
      <c r="A21" s="148"/>
      <c r="B21" s="148"/>
      <c r="C21" s="158" t="e">
        <f>VLOOKUP(B21,MAESTRO!$D$4:$E$10,2,FALSE)</f>
        <v>#N/A</v>
      </c>
      <c r="D21" s="145" t="e">
        <f t="shared" si="4"/>
        <v>#N/A</v>
      </c>
      <c r="E21" s="160"/>
      <c r="F21" s="140"/>
      <c r="G21" s="141" t="e">
        <f>VLOOKUP(F21,MAESTRO!$G$4:$H$14,2,FALSE)</f>
        <v>#N/A</v>
      </c>
      <c r="H21" s="140"/>
      <c r="I21" s="140"/>
      <c r="J21" s="143"/>
      <c r="K21" s="163"/>
      <c r="L21" s="145">
        <f t="shared" ca="1" si="0"/>
        <v>126</v>
      </c>
      <c r="M21" s="166"/>
      <c r="N21" s="144"/>
      <c r="O21" s="145">
        <f t="shared" si="3"/>
        <v>0</v>
      </c>
      <c r="P21" s="168" t="e">
        <f>IF(N21="PRIMERA",
   VLOOKUP(O21,MAESTRO!M:O,2,FALSE),
   VLOOKUP(O21,MAESTRO!M:O,3,FALSE)
)</f>
        <v>#N/A</v>
      </c>
      <c r="Q21" s="148"/>
      <c r="R21" s="148" t="e">
        <f>VLOOKUP(Q21,MAESTRO!$P$5:$Q$8,2,FALSE)</f>
        <v>#N/A</v>
      </c>
      <c r="S21" s="149" t="str">
        <f t="shared" si="1"/>
        <v>NO ES TITULAR</v>
      </c>
      <c r="T21" s="154" t="str">
        <f t="shared" si="2"/>
        <v>NO ES TITULAR</v>
      </c>
      <c r="U21" s="157"/>
      <c r="V21" s="155"/>
      <c r="W21" s="140"/>
    </row>
    <row r="22" spans="1:23" ht="15.75" customHeight="1">
      <c r="A22" s="148"/>
      <c r="B22" s="148"/>
      <c r="C22" s="158" t="e">
        <f>VLOOKUP(B22,MAESTRO!$D$4:$E$10,2,FALSE)</f>
        <v>#N/A</v>
      </c>
      <c r="D22" s="145" t="e">
        <f t="shared" si="4"/>
        <v>#N/A</v>
      </c>
      <c r="E22" s="160"/>
      <c r="F22" s="140"/>
      <c r="G22" s="141" t="e">
        <f>VLOOKUP(F22,MAESTRO!$G$4:$H$14,2,FALSE)</f>
        <v>#N/A</v>
      </c>
      <c r="H22" s="140"/>
      <c r="I22" s="140"/>
      <c r="J22" s="143"/>
      <c r="K22" s="163"/>
      <c r="L22" s="145">
        <f t="shared" ca="1" si="0"/>
        <v>126</v>
      </c>
      <c r="M22" s="166"/>
      <c r="N22" s="144"/>
      <c r="O22" s="145">
        <f t="shared" si="3"/>
        <v>0</v>
      </c>
      <c r="P22" s="168" t="e">
        <f>IF(N22="PRIMERA",
   VLOOKUP(O22,MAESTRO!M:O,2,FALSE),
   VLOOKUP(O22,MAESTRO!M:O,3,FALSE)
)</f>
        <v>#N/A</v>
      </c>
      <c r="Q22" s="148"/>
      <c r="R22" s="148" t="e">
        <f>VLOOKUP(Q22,MAESTRO!$P$5:$Q$8,2,FALSE)</f>
        <v>#N/A</v>
      </c>
      <c r="S22" s="149" t="str">
        <f t="shared" si="1"/>
        <v>NO ES TITULAR</v>
      </c>
      <c r="T22" s="154" t="str">
        <f t="shared" si="2"/>
        <v>NO ES TITULAR</v>
      </c>
      <c r="U22" s="157"/>
      <c r="V22" s="155"/>
      <c r="W22" s="140"/>
    </row>
    <row r="23" spans="1:23" ht="15.75" customHeight="1">
      <c r="A23" s="148"/>
      <c r="B23" s="148"/>
      <c r="C23" s="158" t="e">
        <f>VLOOKUP(B23,MAESTRO!$D$4:$E$10,2,FALSE)</f>
        <v>#N/A</v>
      </c>
      <c r="D23" s="145" t="e">
        <f t="shared" si="4"/>
        <v>#N/A</v>
      </c>
      <c r="E23" s="160"/>
      <c r="F23" s="140"/>
      <c r="G23" s="141" t="e">
        <f>VLOOKUP(F23,MAESTRO!$G$4:$H$14,2,FALSE)</f>
        <v>#N/A</v>
      </c>
      <c r="H23" s="140"/>
      <c r="I23" s="140"/>
      <c r="J23" s="143"/>
      <c r="K23" s="163"/>
      <c r="L23" s="145">
        <f t="shared" ca="1" si="0"/>
        <v>126</v>
      </c>
      <c r="M23" s="166"/>
      <c r="N23" s="144"/>
      <c r="O23" s="145">
        <f t="shared" si="3"/>
        <v>0</v>
      </c>
      <c r="P23" s="168" t="e">
        <f>IF(N23="PRIMERA",
   VLOOKUP(O23,MAESTRO!M:O,2,FALSE),
   VLOOKUP(O23,MAESTRO!M:O,3,FALSE)
)</f>
        <v>#N/A</v>
      </c>
      <c r="Q23" s="148"/>
      <c r="R23" s="148" t="e">
        <f>VLOOKUP(Q23,MAESTRO!$P$5:$Q$8,2,FALSE)</f>
        <v>#N/A</v>
      </c>
      <c r="S23" s="149" t="str">
        <f t="shared" si="1"/>
        <v>NO ES TITULAR</v>
      </c>
      <c r="T23" s="154" t="str">
        <f t="shared" si="2"/>
        <v>NO ES TITULAR</v>
      </c>
      <c r="U23" s="157"/>
      <c r="V23" s="155"/>
      <c r="W23" s="140"/>
    </row>
    <row r="24" spans="1:23" ht="15.75" customHeight="1">
      <c r="A24" s="148"/>
      <c r="B24" s="148"/>
      <c r="C24" s="158" t="e">
        <f>VLOOKUP(B24,MAESTRO!$D$4:$E$10,2,FALSE)</f>
        <v>#N/A</v>
      </c>
      <c r="D24" s="145" t="e">
        <f t="shared" si="4"/>
        <v>#N/A</v>
      </c>
      <c r="E24" s="160"/>
      <c r="F24" s="140"/>
      <c r="G24" s="141" t="e">
        <f>VLOOKUP(F24,MAESTRO!$G$4:$H$14,2,FALSE)</f>
        <v>#N/A</v>
      </c>
      <c r="H24" s="140"/>
      <c r="I24" s="140"/>
      <c r="J24" s="143"/>
      <c r="K24" s="163"/>
      <c r="L24" s="145">
        <f t="shared" ca="1" si="0"/>
        <v>126</v>
      </c>
      <c r="M24" s="166"/>
      <c r="N24" s="144"/>
      <c r="O24" s="145">
        <f t="shared" si="3"/>
        <v>0</v>
      </c>
      <c r="P24" s="168" t="e">
        <f>IF(N24="PRIMERA",
   VLOOKUP(O24,MAESTRO!M:O,2,FALSE),
   VLOOKUP(O24,MAESTRO!M:O,3,FALSE)
)</f>
        <v>#N/A</v>
      </c>
      <c r="Q24" s="148"/>
      <c r="R24" s="148" t="e">
        <f>VLOOKUP(Q24,MAESTRO!$P$5:$Q$8,2,FALSE)</f>
        <v>#N/A</v>
      </c>
      <c r="S24" s="149" t="str">
        <f t="shared" si="1"/>
        <v>NO ES TITULAR</v>
      </c>
      <c r="T24" s="154" t="str">
        <f t="shared" si="2"/>
        <v>NO ES TITULAR</v>
      </c>
      <c r="U24" s="157"/>
      <c r="V24" s="155"/>
      <c r="W24" s="140"/>
    </row>
    <row r="25" spans="1:23" ht="15.75" customHeight="1">
      <c r="A25" s="148"/>
      <c r="B25" s="148"/>
      <c r="C25" s="158" t="e">
        <f>VLOOKUP(B25,MAESTRO!$D$4:$E$10,2,FALSE)</f>
        <v>#N/A</v>
      </c>
      <c r="D25" s="145" t="e">
        <f t="shared" si="4"/>
        <v>#N/A</v>
      </c>
      <c r="E25" s="160"/>
      <c r="F25" s="140"/>
      <c r="G25" s="141" t="e">
        <f>VLOOKUP(F25,MAESTRO!$G$4:$H$14,2,FALSE)</f>
        <v>#N/A</v>
      </c>
      <c r="H25" s="140"/>
      <c r="I25" s="140"/>
      <c r="J25" s="143"/>
      <c r="K25" s="163"/>
      <c r="L25" s="145">
        <f t="shared" ca="1" si="0"/>
        <v>126</v>
      </c>
      <c r="M25" s="166"/>
      <c r="N25" s="144"/>
      <c r="O25" s="145">
        <f t="shared" si="3"/>
        <v>0</v>
      </c>
      <c r="P25" s="168" t="e">
        <f>IF(N25="PRIMERA",
   VLOOKUP(O25,MAESTRO!M:O,2,FALSE),
   VLOOKUP(O25,MAESTRO!M:O,3,FALSE)
)</f>
        <v>#N/A</v>
      </c>
      <c r="Q25" s="148"/>
      <c r="R25" s="148" t="e">
        <f>VLOOKUP(Q25,MAESTRO!$P$5:$Q$8,2,FALSE)</f>
        <v>#N/A</v>
      </c>
      <c r="S25" s="149" t="str">
        <f t="shared" si="1"/>
        <v>NO ES TITULAR</v>
      </c>
      <c r="T25" s="154" t="str">
        <f t="shared" si="2"/>
        <v>NO ES TITULAR</v>
      </c>
      <c r="U25" s="157"/>
      <c r="V25" s="155"/>
      <c r="W25" s="140"/>
    </row>
    <row r="26" spans="1:23" ht="15.75" customHeight="1">
      <c r="A26" s="148"/>
      <c r="B26" s="148"/>
      <c r="C26" s="158" t="e">
        <f>VLOOKUP(B26,MAESTRO!$D$4:$E$10,2,FALSE)</f>
        <v>#N/A</v>
      </c>
      <c r="D26" s="145" t="e">
        <f t="shared" si="4"/>
        <v>#N/A</v>
      </c>
      <c r="E26" s="160"/>
      <c r="F26" s="140"/>
      <c r="G26" s="141" t="e">
        <f>VLOOKUP(F26,MAESTRO!$G$4:$H$14,2,FALSE)</f>
        <v>#N/A</v>
      </c>
      <c r="H26" s="140"/>
      <c r="I26" s="140"/>
      <c r="J26" s="143"/>
      <c r="K26" s="163"/>
      <c r="L26" s="145">
        <f t="shared" ca="1" si="0"/>
        <v>126</v>
      </c>
      <c r="M26" s="166"/>
      <c r="N26" s="144"/>
      <c r="O26" s="145">
        <f t="shared" si="3"/>
        <v>0</v>
      </c>
      <c r="P26" s="168" t="e">
        <f>IF(N26="PRIMERA",
   VLOOKUP(O26,MAESTRO!M:O,2,FALSE),
   VLOOKUP(O26,MAESTRO!M:O,3,FALSE)
)</f>
        <v>#N/A</v>
      </c>
      <c r="Q26" s="148"/>
      <c r="R26" s="148" t="e">
        <f>VLOOKUP(Q26,MAESTRO!$P$5:$Q$8,2,FALSE)</f>
        <v>#N/A</v>
      </c>
      <c r="S26" s="149" t="str">
        <f t="shared" si="1"/>
        <v>NO ES TITULAR</v>
      </c>
      <c r="T26" s="154" t="str">
        <f t="shared" si="2"/>
        <v>NO ES TITULAR</v>
      </c>
      <c r="U26" s="157"/>
      <c r="V26" s="155"/>
      <c r="W26" s="140"/>
    </row>
    <row r="27" spans="1:23" ht="15.75" customHeight="1">
      <c r="A27" s="148"/>
      <c r="B27" s="148"/>
      <c r="C27" s="158" t="e">
        <f>VLOOKUP(B27,MAESTRO!$D$4:$E$10,2,FALSE)</f>
        <v>#N/A</v>
      </c>
      <c r="D27" s="145" t="e">
        <f t="shared" si="4"/>
        <v>#N/A</v>
      </c>
      <c r="E27" s="160"/>
      <c r="F27" s="140"/>
      <c r="G27" s="141" t="e">
        <f>VLOOKUP(F27,MAESTRO!$G$4:$H$14,2,FALSE)</f>
        <v>#N/A</v>
      </c>
      <c r="H27" s="140"/>
      <c r="I27" s="140"/>
      <c r="J27" s="143"/>
      <c r="K27" s="163"/>
      <c r="L27" s="145">
        <f t="shared" ca="1" si="0"/>
        <v>126</v>
      </c>
      <c r="M27" s="166"/>
      <c r="N27" s="144"/>
      <c r="O27" s="145">
        <f t="shared" si="3"/>
        <v>0</v>
      </c>
      <c r="P27" s="168" t="e">
        <f>IF(N27="PRIMERA",
   VLOOKUP(O27,MAESTRO!M:O,2,FALSE),
   VLOOKUP(O27,MAESTRO!M:O,3,FALSE)
)</f>
        <v>#N/A</v>
      </c>
      <c r="Q27" s="148"/>
      <c r="R27" s="148" t="e">
        <f>VLOOKUP(Q27,MAESTRO!$P$5:$Q$8,2,FALSE)</f>
        <v>#N/A</v>
      </c>
      <c r="S27" s="149" t="str">
        <f t="shared" si="1"/>
        <v>NO ES TITULAR</v>
      </c>
      <c r="T27" s="154" t="str">
        <f t="shared" si="2"/>
        <v>NO ES TITULAR</v>
      </c>
      <c r="U27" s="157"/>
      <c r="V27" s="155"/>
      <c r="W27" s="140"/>
    </row>
    <row r="28" spans="1:23" ht="15.75" customHeight="1">
      <c r="A28" s="148"/>
      <c r="B28" s="148"/>
      <c r="C28" s="158" t="e">
        <f>VLOOKUP(B28,MAESTRO!$D$4:$E$10,2,FALSE)</f>
        <v>#N/A</v>
      </c>
      <c r="D28" s="145" t="e">
        <f t="shared" si="4"/>
        <v>#N/A</v>
      </c>
      <c r="E28" s="160"/>
      <c r="F28" s="140"/>
      <c r="G28" s="141" t="e">
        <f>VLOOKUP(F28,MAESTRO!$G$4:$H$14,2,FALSE)</f>
        <v>#N/A</v>
      </c>
      <c r="H28" s="140"/>
      <c r="I28" s="140"/>
      <c r="J28" s="143"/>
      <c r="K28" s="163"/>
      <c r="L28" s="145">
        <f t="shared" ca="1" si="0"/>
        <v>126</v>
      </c>
      <c r="M28" s="166"/>
      <c r="N28" s="144"/>
      <c r="O28" s="145">
        <f t="shared" si="3"/>
        <v>0</v>
      </c>
      <c r="P28" s="168" t="e">
        <f>IF(N28="PRIMERA",
   VLOOKUP(O28,MAESTRO!M:O,2,FALSE),
   VLOOKUP(O28,MAESTRO!M:O,3,FALSE)
)</f>
        <v>#N/A</v>
      </c>
      <c r="Q28" s="148"/>
      <c r="R28" s="148" t="e">
        <f>VLOOKUP(Q28,MAESTRO!$P$5:$Q$8,2,FALSE)</f>
        <v>#N/A</v>
      </c>
      <c r="S28" s="149" t="str">
        <f t="shared" si="1"/>
        <v>NO ES TITULAR</v>
      </c>
      <c r="T28" s="154" t="str">
        <f t="shared" si="2"/>
        <v>NO ES TITULAR</v>
      </c>
      <c r="U28" s="157"/>
      <c r="V28" s="155"/>
      <c r="W28" s="140"/>
    </row>
    <row r="29" spans="1:23" ht="15.75" customHeight="1">
      <c r="A29" s="148"/>
      <c r="B29" s="148"/>
      <c r="C29" s="158" t="e">
        <f>VLOOKUP(B29,MAESTRO!$D$4:$E$10,2,FALSE)</f>
        <v>#N/A</v>
      </c>
      <c r="D29" s="145" t="e">
        <f t="shared" si="4"/>
        <v>#N/A</v>
      </c>
      <c r="E29" s="160"/>
      <c r="F29" s="140"/>
      <c r="G29" s="141" t="e">
        <f>VLOOKUP(F29,MAESTRO!$G$4:$H$14,2,FALSE)</f>
        <v>#N/A</v>
      </c>
      <c r="H29" s="140"/>
      <c r="I29" s="140"/>
      <c r="J29" s="143"/>
      <c r="K29" s="163"/>
      <c r="L29" s="145">
        <f t="shared" ca="1" si="0"/>
        <v>126</v>
      </c>
      <c r="M29" s="166"/>
      <c r="N29" s="144"/>
      <c r="O29" s="145">
        <f t="shared" si="3"/>
        <v>0</v>
      </c>
      <c r="P29" s="168" t="e">
        <f>IF(N29="PRIMERA",
   VLOOKUP(O29,MAESTRO!M:O,2,FALSE),
   VLOOKUP(O29,MAESTRO!M:O,3,FALSE)
)</f>
        <v>#N/A</v>
      </c>
      <c r="Q29" s="148"/>
      <c r="R29" s="148" t="e">
        <f>VLOOKUP(Q29,MAESTRO!$P$5:$Q$8,2,FALSE)</f>
        <v>#N/A</v>
      </c>
      <c r="S29" s="149" t="str">
        <f t="shared" si="1"/>
        <v>NO ES TITULAR</v>
      </c>
      <c r="T29" s="154" t="str">
        <f t="shared" si="2"/>
        <v>NO ES TITULAR</v>
      </c>
      <c r="U29" s="157"/>
      <c r="V29" s="155"/>
      <c r="W29" s="140"/>
    </row>
    <row r="30" spans="1:23" ht="15.75" customHeight="1">
      <c r="A30" s="148"/>
      <c r="B30" s="148"/>
      <c r="C30" s="158" t="e">
        <f>VLOOKUP(B30,MAESTRO!$D$4:$E$10,2,FALSE)</f>
        <v>#N/A</v>
      </c>
      <c r="D30" s="145" t="e">
        <f t="shared" si="4"/>
        <v>#N/A</v>
      </c>
      <c r="E30" s="160"/>
      <c r="F30" s="140"/>
      <c r="G30" s="141" t="e">
        <f>VLOOKUP(F30,MAESTRO!$G$4:$H$14,2,FALSE)</f>
        <v>#N/A</v>
      </c>
      <c r="H30" s="140"/>
      <c r="I30" s="140"/>
      <c r="J30" s="143"/>
      <c r="K30" s="163"/>
      <c r="L30" s="145">
        <f t="shared" ca="1" si="0"/>
        <v>126</v>
      </c>
      <c r="M30" s="166"/>
      <c r="N30" s="144"/>
      <c r="O30" s="145">
        <f t="shared" si="3"/>
        <v>0</v>
      </c>
      <c r="P30" s="168" t="e">
        <f>IF(N30="PRIMERA",
   VLOOKUP(O30,MAESTRO!M:O,2,FALSE),
   VLOOKUP(O30,MAESTRO!M:O,3,FALSE)
)</f>
        <v>#N/A</v>
      </c>
      <c r="Q30" s="148"/>
      <c r="R30" s="148" t="e">
        <f>VLOOKUP(Q30,MAESTRO!$P$5:$Q$8,2,FALSE)</f>
        <v>#N/A</v>
      </c>
      <c r="S30" s="149" t="str">
        <f t="shared" si="1"/>
        <v>NO ES TITULAR</v>
      </c>
      <c r="T30" s="154" t="str">
        <f t="shared" si="2"/>
        <v>NO ES TITULAR</v>
      </c>
      <c r="U30" s="157"/>
      <c r="V30" s="155"/>
      <c r="W30" s="140"/>
    </row>
    <row r="31" spans="1:23" ht="15.75" customHeight="1">
      <c r="A31" s="148"/>
      <c r="B31" s="148"/>
      <c r="C31" s="158" t="e">
        <f>VLOOKUP(B31,MAESTRO!$D$4:$E$10,2,FALSE)</f>
        <v>#N/A</v>
      </c>
      <c r="D31" s="145" t="e">
        <f t="shared" si="4"/>
        <v>#N/A</v>
      </c>
      <c r="E31" s="160"/>
      <c r="F31" s="140"/>
      <c r="G31" s="141" t="e">
        <f>VLOOKUP(F31,MAESTRO!$G$4:$H$14,2,FALSE)</f>
        <v>#N/A</v>
      </c>
      <c r="H31" s="140"/>
      <c r="I31" s="140"/>
      <c r="J31" s="143"/>
      <c r="K31" s="163"/>
      <c r="L31" s="145">
        <f t="shared" ca="1" si="0"/>
        <v>126</v>
      </c>
      <c r="M31" s="166"/>
      <c r="N31" s="144"/>
      <c r="O31" s="145">
        <f t="shared" si="3"/>
        <v>0</v>
      </c>
      <c r="P31" s="168" t="e">
        <f>IF(N31="PRIMERA",
   VLOOKUP(O31,MAESTRO!M:O,2,FALSE),
   VLOOKUP(O31,MAESTRO!M:O,3,FALSE)
)</f>
        <v>#N/A</v>
      </c>
      <c r="Q31" s="148"/>
      <c r="R31" s="148" t="e">
        <f>VLOOKUP(Q31,MAESTRO!$P$5:$Q$8,2,FALSE)</f>
        <v>#N/A</v>
      </c>
      <c r="S31" s="149" t="str">
        <f t="shared" si="1"/>
        <v>NO ES TITULAR</v>
      </c>
      <c r="T31" s="154" t="str">
        <f t="shared" si="2"/>
        <v>NO ES TITULAR</v>
      </c>
      <c r="U31" s="157"/>
      <c r="V31" s="155"/>
      <c r="W31" s="140"/>
    </row>
    <row r="32" spans="1:23" ht="15.75" customHeight="1">
      <c r="A32" s="148"/>
      <c r="B32" s="148"/>
      <c r="C32" s="158" t="e">
        <f>VLOOKUP(B32,MAESTRO!$D$4:$E$10,2,FALSE)</f>
        <v>#N/A</v>
      </c>
      <c r="D32" s="145" t="e">
        <f t="shared" si="4"/>
        <v>#N/A</v>
      </c>
      <c r="E32" s="160"/>
      <c r="F32" s="140"/>
      <c r="G32" s="141" t="e">
        <f>VLOOKUP(F32,MAESTRO!$G$4:$H$14,2,FALSE)</f>
        <v>#N/A</v>
      </c>
      <c r="H32" s="140"/>
      <c r="I32" s="140"/>
      <c r="J32" s="143"/>
      <c r="K32" s="163"/>
      <c r="L32" s="145">
        <f t="shared" ca="1" si="0"/>
        <v>126</v>
      </c>
      <c r="M32" s="166"/>
      <c r="N32" s="144"/>
      <c r="O32" s="145">
        <f t="shared" si="3"/>
        <v>0</v>
      </c>
      <c r="P32" s="168" t="e">
        <f>IF(N32="PRIMERA",
   VLOOKUP(O32,MAESTRO!M:O,2,FALSE),
   VLOOKUP(O32,MAESTRO!M:O,3,FALSE)
)</f>
        <v>#N/A</v>
      </c>
      <c r="Q32" s="148"/>
      <c r="R32" s="148" t="e">
        <f>VLOOKUP(Q32,MAESTRO!$P$5:$Q$8,2,FALSE)</f>
        <v>#N/A</v>
      </c>
      <c r="S32" s="149" t="str">
        <f t="shared" si="1"/>
        <v>NO ES TITULAR</v>
      </c>
      <c r="T32" s="154" t="str">
        <f t="shared" si="2"/>
        <v>NO ES TITULAR</v>
      </c>
      <c r="U32" s="157"/>
      <c r="V32" s="155"/>
      <c r="W32" s="140"/>
    </row>
    <row r="33" spans="1:23" ht="15.75" customHeight="1">
      <c r="A33" s="148"/>
      <c r="B33" s="148"/>
      <c r="C33" s="158" t="e">
        <f>VLOOKUP(B33,MAESTRO!$D$4:$E$10,2,FALSE)</f>
        <v>#N/A</v>
      </c>
      <c r="D33" s="145" t="e">
        <f t="shared" si="4"/>
        <v>#N/A</v>
      </c>
      <c r="E33" s="160"/>
      <c r="F33" s="140"/>
      <c r="G33" s="141" t="e">
        <f>VLOOKUP(F33,MAESTRO!$G$4:$H$14,2,FALSE)</f>
        <v>#N/A</v>
      </c>
      <c r="H33" s="140"/>
      <c r="I33" s="140"/>
      <c r="J33" s="143"/>
      <c r="K33" s="163"/>
      <c r="L33" s="145">
        <f t="shared" ca="1" si="0"/>
        <v>126</v>
      </c>
      <c r="M33" s="166"/>
      <c r="N33" s="144"/>
      <c r="O33" s="145">
        <f t="shared" si="3"/>
        <v>0</v>
      </c>
      <c r="P33" s="168" t="e">
        <f>IF(N33="PRIMERA",
   VLOOKUP(O33,MAESTRO!M:O,2,FALSE),
   VLOOKUP(O33,MAESTRO!M:O,3,FALSE)
)</f>
        <v>#N/A</v>
      </c>
      <c r="Q33" s="148"/>
      <c r="R33" s="148" t="e">
        <f>VLOOKUP(Q33,MAESTRO!$P$5:$Q$8,2,FALSE)</f>
        <v>#N/A</v>
      </c>
      <c r="S33" s="149" t="str">
        <f t="shared" si="1"/>
        <v>NO ES TITULAR</v>
      </c>
      <c r="T33" s="154" t="str">
        <f t="shared" si="2"/>
        <v>NO ES TITULAR</v>
      </c>
      <c r="U33" s="157"/>
      <c r="V33" s="155"/>
      <c r="W33" s="140"/>
    </row>
    <row r="34" spans="1:23" ht="15.75" customHeight="1">
      <c r="A34" s="148"/>
      <c r="B34" s="148"/>
      <c r="C34" s="158" t="e">
        <f>VLOOKUP(B34,MAESTRO!$D$4:$E$10,2,FALSE)</f>
        <v>#N/A</v>
      </c>
      <c r="D34" s="145" t="e">
        <f t="shared" si="4"/>
        <v>#N/A</v>
      </c>
      <c r="E34" s="160"/>
      <c r="F34" s="140"/>
      <c r="G34" s="141" t="e">
        <f>VLOOKUP(F34,MAESTRO!$G$4:$H$14,2,FALSE)</f>
        <v>#N/A</v>
      </c>
      <c r="H34" s="140"/>
      <c r="I34" s="140"/>
      <c r="J34" s="143"/>
      <c r="K34" s="163"/>
      <c r="L34" s="145">
        <f t="shared" ca="1" si="0"/>
        <v>126</v>
      </c>
      <c r="M34" s="166"/>
      <c r="N34" s="144"/>
      <c r="O34" s="145">
        <f t="shared" si="3"/>
        <v>0</v>
      </c>
      <c r="P34" s="168" t="e">
        <f>IF(N34="PRIMERA",
   VLOOKUP(O34,MAESTRO!M:O,2,FALSE),
   VLOOKUP(O34,MAESTRO!M:O,3,FALSE)
)</f>
        <v>#N/A</v>
      </c>
      <c r="Q34" s="148"/>
      <c r="R34" s="148" t="e">
        <f>VLOOKUP(Q34,MAESTRO!$P$5:$Q$8,2,FALSE)</f>
        <v>#N/A</v>
      </c>
      <c r="S34" s="149" t="str">
        <f t="shared" si="1"/>
        <v>NO ES TITULAR</v>
      </c>
      <c r="T34" s="154" t="str">
        <f t="shared" si="2"/>
        <v>NO ES TITULAR</v>
      </c>
      <c r="U34" s="157"/>
      <c r="V34" s="155"/>
      <c r="W34" s="140"/>
    </row>
    <row r="35" spans="1:23" ht="15.75" customHeight="1">
      <c r="A35" s="148"/>
      <c r="B35" s="148"/>
      <c r="C35" s="158" t="e">
        <f>VLOOKUP(B35,MAESTRO!$D$4:$E$10,2,FALSE)</f>
        <v>#N/A</v>
      </c>
      <c r="D35" s="145" t="e">
        <f t="shared" si="4"/>
        <v>#N/A</v>
      </c>
      <c r="E35" s="160"/>
      <c r="F35" s="140"/>
      <c r="G35" s="141" t="e">
        <f>VLOOKUP(F35,MAESTRO!$G$4:$H$14,2,FALSE)</f>
        <v>#N/A</v>
      </c>
      <c r="H35" s="140"/>
      <c r="I35" s="140"/>
      <c r="J35" s="143"/>
      <c r="K35" s="163"/>
      <c r="L35" s="145">
        <f t="shared" ca="1" si="0"/>
        <v>126</v>
      </c>
      <c r="M35" s="166"/>
      <c r="N35" s="144"/>
      <c r="O35" s="145">
        <f t="shared" si="3"/>
        <v>0</v>
      </c>
      <c r="P35" s="168" t="e">
        <f>IF(N35="PRIMERA",
   VLOOKUP(O35,MAESTRO!M:O,2,FALSE),
   VLOOKUP(O35,MAESTRO!M:O,3,FALSE)
)</f>
        <v>#N/A</v>
      </c>
      <c r="Q35" s="148"/>
      <c r="R35" s="148" t="e">
        <f>VLOOKUP(Q35,MAESTRO!$P$5:$Q$8,2,FALSE)</f>
        <v>#N/A</v>
      </c>
      <c r="S35" s="149" t="str">
        <f t="shared" si="1"/>
        <v>NO ES TITULAR</v>
      </c>
      <c r="T35" s="154" t="str">
        <f t="shared" si="2"/>
        <v>NO ES TITULAR</v>
      </c>
      <c r="U35" s="157"/>
      <c r="V35" s="155"/>
      <c r="W35" s="140"/>
    </row>
    <row r="36" spans="1:23" ht="15.75" customHeight="1">
      <c r="A36" s="148"/>
      <c r="B36" s="148"/>
      <c r="C36" s="158" t="e">
        <f>VLOOKUP(B36,MAESTRO!$D$4:$E$10,2,FALSE)</f>
        <v>#N/A</v>
      </c>
      <c r="D36" s="145" t="e">
        <f t="shared" si="4"/>
        <v>#N/A</v>
      </c>
      <c r="E36" s="160"/>
      <c r="F36" s="140"/>
      <c r="G36" s="141" t="e">
        <f>VLOOKUP(F36,MAESTRO!$G$4:$H$14,2,FALSE)</f>
        <v>#N/A</v>
      </c>
      <c r="H36" s="140"/>
      <c r="I36" s="140"/>
      <c r="J36" s="143"/>
      <c r="K36" s="163"/>
      <c r="L36" s="145">
        <f t="shared" ca="1" si="0"/>
        <v>126</v>
      </c>
      <c r="M36" s="166"/>
      <c r="N36" s="144"/>
      <c r="O36" s="145">
        <f t="shared" si="3"/>
        <v>0</v>
      </c>
      <c r="P36" s="168" t="e">
        <f>IF(N36="PRIMERA",
   VLOOKUP(O36,MAESTRO!M:O,2,FALSE),
   VLOOKUP(O36,MAESTRO!M:O,3,FALSE)
)</f>
        <v>#N/A</v>
      </c>
      <c r="Q36" s="148"/>
      <c r="R36" s="148" t="e">
        <f>VLOOKUP(Q36,MAESTRO!$P$5:$Q$8,2,FALSE)</f>
        <v>#N/A</v>
      </c>
      <c r="S36" s="149" t="str">
        <f t="shared" si="1"/>
        <v>NO ES TITULAR</v>
      </c>
      <c r="T36" s="154" t="str">
        <f t="shared" si="2"/>
        <v>NO ES TITULAR</v>
      </c>
      <c r="U36" s="157"/>
      <c r="V36" s="155"/>
      <c r="W36" s="140"/>
    </row>
    <row r="37" spans="1:23" ht="15.75" customHeight="1">
      <c r="A37" s="148"/>
      <c r="B37" s="148"/>
      <c r="C37" s="158" t="e">
        <f>VLOOKUP(B37,MAESTRO!$D$4:$E$10,2,FALSE)</f>
        <v>#N/A</v>
      </c>
      <c r="D37" s="145" t="e">
        <f t="shared" si="4"/>
        <v>#N/A</v>
      </c>
      <c r="E37" s="160"/>
      <c r="F37" s="140"/>
      <c r="G37" s="141" t="e">
        <f>VLOOKUP(F37,MAESTRO!$G$4:$H$14,2,FALSE)</f>
        <v>#N/A</v>
      </c>
      <c r="H37" s="140"/>
      <c r="I37" s="140"/>
      <c r="J37" s="143"/>
      <c r="K37" s="163"/>
      <c r="L37" s="145">
        <f t="shared" ca="1" si="0"/>
        <v>126</v>
      </c>
      <c r="M37" s="166"/>
      <c r="N37" s="144"/>
      <c r="O37" s="145">
        <f t="shared" si="3"/>
        <v>0</v>
      </c>
      <c r="P37" s="168" t="e">
        <f>IF(N37="PRIMERA",
   VLOOKUP(O37,MAESTRO!M:O,2,FALSE),
   VLOOKUP(O37,MAESTRO!M:O,3,FALSE)
)</f>
        <v>#N/A</v>
      </c>
      <c r="Q37" s="148"/>
      <c r="R37" s="148" t="e">
        <f>VLOOKUP(Q37,MAESTRO!$P$5:$Q$8,2,FALSE)</f>
        <v>#N/A</v>
      </c>
      <c r="S37" s="149" t="str">
        <f t="shared" si="1"/>
        <v>NO ES TITULAR</v>
      </c>
      <c r="T37" s="154" t="str">
        <f t="shared" si="2"/>
        <v>NO ES TITULAR</v>
      </c>
      <c r="U37" s="157"/>
      <c r="V37" s="155"/>
      <c r="W37" s="140"/>
    </row>
    <row r="38" spans="1:23" ht="15.75" customHeight="1">
      <c r="A38" s="148"/>
      <c r="B38" s="148"/>
      <c r="C38" s="158" t="e">
        <f>VLOOKUP(B38,MAESTRO!$D$4:$E$10,2,FALSE)</f>
        <v>#N/A</v>
      </c>
      <c r="D38" s="145" t="e">
        <f t="shared" si="4"/>
        <v>#N/A</v>
      </c>
      <c r="E38" s="160"/>
      <c r="F38" s="140"/>
      <c r="G38" s="141" t="e">
        <f>VLOOKUP(F38,MAESTRO!$G$4:$H$14,2,FALSE)</f>
        <v>#N/A</v>
      </c>
      <c r="H38" s="140"/>
      <c r="I38" s="140"/>
      <c r="J38" s="143"/>
      <c r="K38" s="163"/>
      <c r="L38" s="145">
        <f t="shared" ca="1" si="0"/>
        <v>126</v>
      </c>
      <c r="M38" s="166"/>
      <c r="N38" s="144"/>
      <c r="O38" s="145">
        <f t="shared" si="3"/>
        <v>0</v>
      </c>
      <c r="P38" s="168" t="e">
        <f>IF(N38="PRIMERA",
   VLOOKUP(O38,MAESTRO!M:O,2,FALSE),
   VLOOKUP(O38,MAESTRO!M:O,3,FALSE)
)</f>
        <v>#N/A</v>
      </c>
      <c r="Q38" s="148"/>
      <c r="R38" s="148" t="e">
        <f>VLOOKUP(Q38,MAESTRO!$P$5:$Q$8,2,FALSE)</f>
        <v>#N/A</v>
      </c>
      <c r="S38" s="149" t="str">
        <f t="shared" si="1"/>
        <v>NO ES TITULAR</v>
      </c>
      <c r="T38" s="154" t="str">
        <f t="shared" si="2"/>
        <v>NO ES TITULAR</v>
      </c>
      <c r="U38" s="157"/>
      <c r="V38" s="155"/>
      <c r="W38" s="140"/>
    </row>
    <row r="39" spans="1:23" ht="15.75" customHeight="1">
      <c r="A39" s="148"/>
      <c r="B39" s="148"/>
      <c r="C39" s="158" t="e">
        <f>VLOOKUP(B39,MAESTRO!$D$4:$E$10,2,FALSE)</f>
        <v>#N/A</v>
      </c>
      <c r="D39" s="145" t="e">
        <f t="shared" si="4"/>
        <v>#N/A</v>
      </c>
      <c r="E39" s="160"/>
      <c r="F39" s="140"/>
      <c r="G39" s="141" t="e">
        <f>VLOOKUP(F39,MAESTRO!$G$4:$H$14,2,FALSE)</f>
        <v>#N/A</v>
      </c>
      <c r="H39" s="140"/>
      <c r="I39" s="140"/>
      <c r="J39" s="143"/>
      <c r="K39" s="163"/>
      <c r="L39" s="145">
        <f t="shared" ca="1" si="0"/>
        <v>126</v>
      </c>
      <c r="M39" s="166"/>
      <c r="N39" s="144"/>
      <c r="O39" s="145">
        <f t="shared" si="3"/>
        <v>0</v>
      </c>
      <c r="P39" s="168" t="e">
        <f>IF(N39="PRIMERA",
   VLOOKUP(O39,MAESTRO!M:O,2,FALSE),
   VLOOKUP(O39,MAESTRO!M:O,3,FALSE)
)</f>
        <v>#N/A</v>
      </c>
      <c r="Q39" s="148"/>
      <c r="R39" s="148" t="e">
        <f>VLOOKUP(Q39,MAESTRO!$P$5:$Q$8,2,FALSE)</f>
        <v>#N/A</v>
      </c>
      <c r="S39" s="149" t="str">
        <f t="shared" si="1"/>
        <v>NO ES TITULAR</v>
      </c>
      <c r="T39" s="154" t="str">
        <f t="shared" si="2"/>
        <v>NO ES TITULAR</v>
      </c>
      <c r="U39" s="157"/>
      <c r="V39" s="155"/>
      <c r="W39" s="140"/>
    </row>
    <row r="40" spans="1:23" ht="15.75" customHeight="1">
      <c r="A40" s="148"/>
      <c r="B40" s="148"/>
      <c r="C40" s="158" t="e">
        <f>VLOOKUP(B40,MAESTRO!$D$4:$E$10,2,FALSE)</f>
        <v>#N/A</v>
      </c>
      <c r="D40" s="145" t="e">
        <f t="shared" si="4"/>
        <v>#N/A</v>
      </c>
      <c r="E40" s="160"/>
      <c r="F40" s="140"/>
      <c r="G40" s="141" t="e">
        <f>VLOOKUP(F40,MAESTRO!$G$4:$H$14,2,FALSE)</f>
        <v>#N/A</v>
      </c>
      <c r="H40" s="140"/>
      <c r="I40" s="140"/>
      <c r="J40" s="143"/>
      <c r="K40" s="163"/>
      <c r="L40" s="145">
        <f t="shared" ca="1" si="0"/>
        <v>126</v>
      </c>
      <c r="M40" s="166"/>
      <c r="N40" s="144"/>
      <c r="O40" s="145">
        <f t="shared" si="3"/>
        <v>0</v>
      </c>
      <c r="P40" s="168" t="e">
        <f>IF(N40="PRIMERA",
   VLOOKUP(O40,MAESTRO!M:O,2,FALSE),
   VLOOKUP(O40,MAESTRO!M:O,3,FALSE)
)</f>
        <v>#N/A</v>
      </c>
      <c r="Q40" s="148"/>
      <c r="R40" s="148" t="e">
        <f>VLOOKUP(Q40,MAESTRO!$P$5:$Q$8,2,FALSE)</f>
        <v>#N/A</v>
      </c>
      <c r="S40" s="149" t="str">
        <f t="shared" si="1"/>
        <v>NO ES TITULAR</v>
      </c>
      <c r="T40" s="154" t="str">
        <f t="shared" si="2"/>
        <v>NO ES TITULAR</v>
      </c>
      <c r="U40" s="157"/>
      <c r="V40" s="155"/>
      <c r="W40" s="140"/>
    </row>
    <row r="41" spans="1:23" ht="15.75" customHeight="1">
      <c r="A41" s="148"/>
      <c r="B41" s="148"/>
      <c r="C41" s="158" t="e">
        <f>VLOOKUP(B41,MAESTRO!$D$4:$E$10,2,FALSE)</f>
        <v>#N/A</v>
      </c>
      <c r="D41" s="145" t="e">
        <f t="shared" si="4"/>
        <v>#N/A</v>
      </c>
      <c r="E41" s="160"/>
      <c r="F41" s="140"/>
      <c r="G41" s="141" t="e">
        <f>VLOOKUP(F41,MAESTRO!$G$4:$H$14,2,FALSE)</f>
        <v>#N/A</v>
      </c>
      <c r="H41" s="140"/>
      <c r="I41" s="140"/>
      <c r="J41" s="143"/>
      <c r="K41" s="163"/>
      <c r="L41" s="145">
        <f t="shared" ca="1" si="0"/>
        <v>126</v>
      </c>
      <c r="M41" s="166"/>
      <c r="N41" s="144"/>
      <c r="O41" s="145">
        <f t="shared" si="3"/>
        <v>0</v>
      </c>
      <c r="P41" s="168" t="e">
        <f>IF(N41="PRIMERA",
   VLOOKUP(O41,MAESTRO!M:O,2,FALSE),
   VLOOKUP(O41,MAESTRO!M:O,3,FALSE)
)</f>
        <v>#N/A</v>
      </c>
      <c r="Q41" s="148"/>
      <c r="R41" s="148" t="e">
        <f>VLOOKUP(Q41,MAESTRO!$P$5:$Q$8,2,FALSE)</f>
        <v>#N/A</v>
      </c>
      <c r="S41" s="149" t="str">
        <f t="shared" si="1"/>
        <v>NO ES TITULAR</v>
      </c>
      <c r="T41" s="154" t="str">
        <f t="shared" si="2"/>
        <v>NO ES TITULAR</v>
      </c>
      <c r="U41" s="157"/>
      <c r="V41" s="155"/>
      <c r="W41" s="140"/>
    </row>
    <row r="42" spans="1:23" ht="15.75" customHeight="1">
      <c r="A42" s="148"/>
      <c r="B42" s="148"/>
      <c r="C42" s="158" t="e">
        <f>VLOOKUP(B42,MAESTRO!$D$4:$E$10,2,FALSE)</f>
        <v>#N/A</v>
      </c>
      <c r="D42" s="145" t="e">
        <f t="shared" si="4"/>
        <v>#N/A</v>
      </c>
      <c r="E42" s="160"/>
      <c r="F42" s="140"/>
      <c r="G42" s="141" t="e">
        <f>VLOOKUP(F42,MAESTRO!$G$4:$H$14,2,FALSE)</f>
        <v>#N/A</v>
      </c>
      <c r="H42" s="140"/>
      <c r="I42" s="140"/>
      <c r="J42" s="143"/>
      <c r="K42" s="163"/>
      <c r="L42" s="145">
        <f t="shared" ca="1" si="0"/>
        <v>126</v>
      </c>
      <c r="M42" s="166"/>
      <c r="N42" s="144"/>
      <c r="O42" s="145">
        <f t="shared" si="3"/>
        <v>0</v>
      </c>
      <c r="P42" s="168" t="e">
        <f>IF(N42="PRIMERA",
   VLOOKUP(O42,MAESTRO!M:O,2,FALSE),
   VLOOKUP(O42,MAESTRO!M:O,3,FALSE)
)</f>
        <v>#N/A</v>
      </c>
      <c r="Q42" s="148"/>
      <c r="R42" s="148" t="e">
        <f>VLOOKUP(Q42,MAESTRO!$P$5:$Q$8,2,FALSE)</f>
        <v>#N/A</v>
      </c>
      <c r="S42" s="149" t="str">
        <f t="shared" si="1"/>
        <v>NO ES TITULAR</v>
      </c>
      <c r="T42" s="154" t="str">
        <f t="shared" si="2"/>
        <v>NO ES TITULAR</v>
      </c>
      <c r="U42" s="157"/>
      <c r="V42" s="155"/>
      <c r="W42" s="140"/>
    </row>
    <row r="43" spans="1:23" ht="15.75" customHeight="1">
      <c r="A43" s="148"/>
      <c r="B43" s="148"/>
      <c r="C43" s="158" t="e">
        <f>VLOOKUP(B43,MAESTRO!$D$4:$E$10,2,FALSE)</f>
        <v>#N/A</v>
      </c>
      <c r="D43" s="145" t="e">
        <f t="shared" si="4"/>
        <v>#N/A</v>
      </c>
      <c r="E43" s="160"/>
      <c r="F43" s="140"/>
      <c r="G43" s="141" t="e">
        <f>VLOOKUP(F43,MAESTRO!$G$4:$H$14,2,FALSE)</f>
        <v>#N/A</v>
      </c>
      <c r="H43" s="140"/>
      <c r="I43" s="140"/>
      <c r="J43" s="143"/>
      <c r="K43" s="163"/>
      <c r="L43" s="145">
        <f t="shared" ca="1" si="0"/>
        <v>126</v>
      </c>
      <c r="M43" s="166"/>
      <c r="N43" s="144"/>
      <c r="O43" s="145">
        <f t="shared" si="3"/>
        <v>0</v>
      </c>
      <c r="P43" s="168" t="e">
        <f>IF(N43="PRIMERA",
   VLOOKUP(O43,MAESTRO!M:O,2,FALSE),
   VLOOKUP(O43,MAESTRO!M:O,3,FALSE)
)</f>
        <v>#N/A</v>
      </c>
      <c r="Q43" s="148"/>
      <c r="R43" s="148" t="e">
        <f>VLOOKUP(Q43,MAESTRO!$P$5:$Q$8,2,FALSE)</f>
        <v>#N/A</v>
      </c>
      <c r="S43" s="149" t="str">
        <f t="shared" si="1"/>
        <v>NO ES TITULAR</v>
      </c>
      <c r="T43" s="154" t="str">
        <f t="shared" si="2"/>
        <v>NO ES TITULAR</v>
      </c>
      <c r="U43" s="157"/>
      <c r="V43" s="155"/>
      <c r="W43" s="140"/>
    </row>
    <row r="44" spans="1:23" ht="15.75" customHeight="1">
      <c r="A44" s="148"/>
      <c r="B44" s="148"/>
      <c r="C44" s="158" t="e">
        <f>VLOOKUP(B44,MAESTRO!$D$4:$E$10,2,FALSE)</f>
        <v>#N/A</v>
      </c>
      <c r="D44" s="145" t="e">
        <f t="shared" si="4"/>
        <v>#N/A</v>
      </c>
      <c r="E44" s="160"/>
      <c r="F44" s="140"/>
      <c r="G44" s="141" t="e">
        <f>VLOOKUP(F44,MAESTRO!$G$4:$H$14,2,FALSE)</f>
        <v>#N/A</v>
      </c>
      <c r="H44" s="140"/>
      <c r="I44" s="140"/>
      <c r="J44" s="143"/>
      <c r="K44" s="163"/>
      <c r="L44" s="145">
        <f t="shared" ca="1" si="0"/>
        <v>126</v>
      </c>
      <c r="M44" s="166"/>
      <c r="N44" s="144"/>
      <c r="O44" s="145">
        <f t="shared" si="3"/>
        <v>0</v>
      </c>
      <c r="P44" s="168" t="e">
        <f>IF(N44="PRIMERA",
   VLOOKUP(O44,MAESTRO!M:O,2,FALSE),
   VLOOKUP(O44,MAESTRO!M:O,3,FALSE)
)</f>
        <v>#N/A</v>
      </c>
      <c r="Q44" s="148"/>
      <c r="R44" s="148" t="e">
        <f>VLOOKUP(Q44,MAESTRO!$P$5:$Q$8,2,FALSE)</f>
        <v>#N/A</v>
      </c>
      <c r="S44" s="149" t="str">
        <f t="shared" si="1"/>
        <v>NO ES TITULAR</v>
      </c>
      <c r="T44" s="154" t="str">
        <f t="shared" si="2"/>
        <v>NO ES TITULAR</v>
      </c>
      <c r="U44" s="157"/>
      <c r="V44" s="155"/>
      <c r="W44" s="140"/>
    </row>
    <row r="45" spans="1:23" ht="15.75" customHeight="1">
      <c r="A45" s="148"/>
      <c r="B45" s="148"/>
      <c r="C45" s="158" t="e">
        <f>VLOOKUP(B45,MAESTRO!$D$4:$E$10,2,FALSE)</f>
        <v>#N/A</v>
      </c>
      <c r="D45" s="145" t="e">
        <f t="shared" si="4"/>
        <v>#N/A</v>
      </c>
      <c r="E45" s="160"/>
      <c r="F45" s="140"/>
      <c r="G45" s="141" t="e">
        <f>VLOOKUP(F45,MAESTRO!$G$4:$H$14,2,FALSE)</f>
        <v>#N/A</v>
      </c>
      <c r="H45" s="140"/>
      <c r="I45" s="140"/>
      <c r="J45" s="143"/>
      <c r="K45" s="163"/>
      <c r="L45" s="145">
        <f t="shared" ca="1" si="0"/>
        <v>126</v>
      </c>
      <c r="M45" s="166"/>
      <c r="N45" s="144"/>
      <c r="O45" s="145">
        <f t="shared" si="3"/>
        <v>0</v>
      </c>
      <c r="P45" s="168" t="e">
        <f>IF(N45="PRIMERA",
   VLOOKUP(O45,MAESTRO!M:O,2,FALSE),
   VLOOKUP(O45,MAESTRO!M:O,3,FALSE)
)</f>
        <v>#N/A</v>
      </c>
      <c r="Q45" s="148"/>
      <c r="R45" s="148" t="e">
        <f>VLOOKUP(Q45,MAESTRO!$P$5:$Q$8,2,FALSE)</f>
        <v>#N/A</v>
      </c>
      <c r="S45" s="149" t="str">
        <f t="shared" si="1"/>
        <v>NO ES TITULAR</v>
      </c>
      <c r="T45" s="154" t="str">
        <f t="shared" si="2"/>
        <v>NO ES TITULAR</v>
      </c>
      <c r="U45" s="157"/>
      <c r="V45" s="155"/>
      <c r="W45" s="140"/>
    </row>
    <row r="46" spans="1:23" ht="15.75" customHeight="1">
      <c r="A46" s="148"/>
      <c r="B46" s="148"/>
      <c r="C46" s="158" t="e">
        <f>VLOOKUP(B46,MAESTRO!$D$4:$E$10,2,FALSE)</f>
        <v>#N/A</v>
      </c>
      <c r="D46" s="145" t="e">
        <f t="shared" si="4"/>
        <v>#N/A</v>
      </c>
      <c r="E46" s="160"/>
      <c r="F46" s="140"/>
      <c r="G46" s="141" t="e">
        <f>VLOOKUP(F46,MAESTRO!$G$4:$H$14,2,FALSE)</f>
        <v>#N/A</v>
      </c>
      <c r="H46" s="140"/>
      <c r="I46" s="140"/>
      <c r="J46" s="143"/>
      <c r="K46" s="163"/>
      <c r="L46" s="145">
        <f t="shared" ca="1" si="0"/>
        <v>126</v>
      </c>
      <c r="M46" s="166"/>
      <c r="N46" s="144"/>
      <c r="O46" s="145">
        <f t="shared" si="3"/>
        <v>0</v>
      </c>
      <c r="P46" s="168" t="e">
        <f>IF(N46="PRIMERA",
   VLOOKUP(O46,MAESTRO!M:O,2,FALSE),
   VLOOKUP(O46,MAESTRO!M:O,3,FALSE)
)</f>
        <v>#N/A</v>
      </c>
      <c r="Q46" s="148"/>
      <c r="R46" s="148" t="e">
        <f>VLOOKUP(Q46,MAESTRO!$P$5:$Q$8,2,FALSE)</f>
        <v>#N/A</v>
      </c>
      <c r="S46" s="149" t="str">
        <f t="shared" si="1"/>
        <v>NO ES TITULAR</v>
      </c>
      <c r="T46" s="154" t="str">
        <f t="shared" si="2"/>
        <v>NO ES TITULAR</v>
      </c>
      <c r="U46" s="157"/>
      <c r="V46" s="155"/>
      <c r="W46" s="140"/>
    </row>
    <row r="47" spans="1:23" ht="15.75" customHeight="1">
      <c r="A47" s="148"/>
      <c r="B47" s="148"/>
      <c r="C47" s="158" t="e">
        <f>VLOOKUP(B47,MAESTRO!$D$4:$E$10,2,FALSE)</f>
        <v>#N/A</v>
      </c>
      <c r="D47" s="145" t="e">
        <f t="shared" si="4"/>
        <v>#N/A</v>
      </c>
      <c r="E47" s="160"/>
      <c r="F47" s="140"/>
      <c r="G47" s="141" t="e">
        <f>VLOOKUP(F47,MAESTRO!$G$4:$H$14,2,FALSE)</f>
        <v>#N/A</v>
      </c>
      <c r="H47" s="140"/>
      <c r="I47" s="140"/>
      <c r="J47" s="143"/>
      <c r="K47" s="163"/>
      <c r="L47" s="145">
        <f t="shared" ca="1" si="0"/>
        <v>126</v>
      </c>
      <c r="M47" s="166"/>
      <c r="N47" s="144"/>
      <c r="O47" s="145">
        <f t="shared" si="3"/>
        <v>0</v>
      </c>
      <c r="P47" s="168" t="e">
        <f>IF(N47="PRIMERA",
   VLOOKUP(O47,MAESTRO!M:O,2,FALSE),
   VLOOKUP(O47,MAESTRO!M:O,3,FALSE)
)</f>
        <v>#N/A</v>
      </c>
      <c r="Q47" s="148"/>
      <c r="R47" s="148" t="e">
        <f>VLOOKUP(Q47,MAESTRO!$P$5:$Q$8,2,FALSE)</f>
        <v>#N/A</v>
      </c>
      <c r="S47" s="149" t="str">
        <f t="shared" si="1"/>
        <v>NO ES TITULAR</v>
      </c>
      <c r="T47" s="154" t="str">
        <f t="shared" si="2"/>
        <v>NO ES TITULAR</v>
      </c>
      <c r="U47" s="157"/>
      <c r="V47" s="155"/>
      <c r="W47" s="140"/>
    </row>
    <row r="48" spans="1:23" ht="15.75" customHeight="1">
      <c r="A48" s="148"/>
      <c r="B48" s="148"/>
      <c r="C48" s="158" t="e">
        <f>VLOOKUP(B48,MAESTRO!$D$4:$E$10,2,FALSE)</f>
        <v>#N/A</v>
      </c>
      <c r="D48" s="145" t="e">
        <f t="shared" si="4"/>
        <v>#N/A</v>
      </c>
      <c r="E48" s="160"/>
      <c r="F48" s="140"/>
      <c r="G48" s="141" t="e">
        <f>VLOOKUP(F48,MAESTRO!$G$4:$H$14,2,FALSE)</f>
        <v>#N/A</v>
      </c>
      <c r="H48" s="140"/>
      <c r="I48" s="140"/>
      <c r="J48" s="143"/>
      <c r="K48" s="163"/>
      <c r="L48" s="145">
        <f t="shared" ca="1" si="0"/>
        <v>126</v>
      </c>
      <c r="M48" s="166"/>
      <c r="N48" s="144"/>
      <c r="O48" s="145">
        <f t="shared" si="3"/>
        <v>0</v>
      </c>
      <c r="P48" s="168" t="e">
        <f>IF(N48="PRIMERA",
   VLOOKUP(O48,MAESTRO!M:O,2,FALSE),
   VLOOKUP(O48,MAESTRO!M:O,3,FALSE)
)</f>
        <v>#N/A</v>
      </c>
      <c r="Q48" s="148"/>
      <c r="R48" s="148" t="e">
        <f>VLOOKUP(Q48,MAESTRO!$P$5:$Q$8,2,FALSE)</f>
        <v>#N/A</v>
      </c>
      <c r="S48" s="149" t="str">
        <f t="shared" si="1"/>
        <v>NO ES TITULAR</v>
      </c>
      <c r="T48" s="154" t="str">
        <f t="shared" si="2"/>
        <v>NO ES TITULAR</v>
      </c>
      <c r="U48" s="157"/>
      <c r="V48" s="155"/>
      <c r="W48" s="140"/>
    </row>
    <row r="49" spans="1:23" ht="15.75" customHeight="1">
      <c r="A49" s="148"/>
      <c r="B49" s="148"/>
      <c r="C49" s="158" t="e">
        <f>VLOOKUP(B49,MAESTRO!$D$4:$E$10,2,FALSE)</f>
        <v>#N/A</v>
      </c>
      <c r="D49" s="145" t="e">
        <f t="shared" si="4"/>
        <v>#N/A</v>
      </c>
      <c r="E49" s="160"/>
      <c r="F49" s="140"/>
      <c r="G49" s="141" t="e">
        <f>VLOOKUP(F49,MAESTRO!$G$4:$H$14,2,FALSE)</f>
        <v>#N/A</v>
      </c>
      <c r="H49" s="140"/>
      <c r="I49" s="140"/>
      <c r="J49" s="143"/>
      <c r="K49" s="163"/>
      <c r="L49" s="145">
        <f t="shared" ca="1" si="0"/>
        <v>126</v>
      </c>
      <c r="M49" s="166"/>
      <c r="N49" s="144"/>
      <c r="O49" s="145">
        <f t="shared" si="3"/>
        <v>0</v>
      </c>
      <c r="P49" s="168" t="e">
        <f>IF(N49="PRIMERA",
   VLOOKUP(O49,MAESTRO!M:O,2,FALSE),
   VLOOKUP(O49,MAESTRO!M:O,3,FALSE)
)</f>
        <v>#N/A</v>
      </c>
      <c r="Q49" s="148"/>
      <c r="R49" s="148" t="e">
        <f>VLOOKUP(Q49,MAESTRO!$P$5:$Q$8,2,FALSE)</f>
        <v>#N/A</v>
      </c>
      <c r="S49" s="149" t="str">
        <f t="shared" si="1"/>
        <v>NO ES TITULAR</v>
      </c>
      <c r="T49" s="154" t="str">
        <f t="shared" si="2"/>
        <v>NO ES TITULAR</v>
      </c>
      <c r="U49" s="157"/>
      <c r="V49" s="155"/>
      <c r="W49" s="140"/>
    </row>
    <row r="50" spans="1:23" ht="15.75" customHeight="1">
      <c r="A50" s="148"/>
      <c r="B50" s="148"/>
      <c r="C50" s="158" t="e">
        <f>VLOOKUP(B50,MAESTRO!$D$4:$E$10,2,FALSE)</f>
        <v>#N/A</v>
      </c>
      <c r="D50" s="145" t="e">
        <f t="shared" si="4"/>
        <v>#N/A</v>
      </c>
      <c r="E50" s="160"/>
      <c r="F50" s="140"/>
      <c r="G50" s="141" t="e">
        <f>VLOOKUP(F50,MAESTRO!$G$4:$H$14,2,FALSE)</f>
        <v>#N/A</v>
      </c>
      <c r="H50" s="140"/>
      <c r="I50" s="140"/>
      <c r="J50" s="143"/>
      <c r="K50" s="163"/>
      <c r="L50" s="145">
        <f t="shared" ca="1" si="0"/>
        <v>126</v>
      </c>
      <c r="M50" s="166"/>
      <c r="N50" s="144"/>
      <c r="O50" s="145">
        <f t="shared" si="3"/>
        <v>0</v>
      </c>
      <c r="P50" s="168" t="e">
        <f>IF(N50="PRIMERA",
   VLOOKUP(O50,MAESTRO!M:O,2,FALSE),
   VLOOKUP(O50,MAESTRO!M:O,3,FALSE)
)</f>
        <v>#N/A</v>
      </c>
      <c r="Q50" s="148"/>
      <c r="R50" s="148" t="e">
        <f>VLOOKUP(Q50,MAESTRO!$P$5:$Q$8,2,FALSE)</f>
        <v>#N/A</v>
      </c>
      <c r="S50" s="149" t="str">
        <f t="shared" si="1"/>
        <v>NO ES TITULAR</v>
      </c>
      <c r="T50" s="154" t="str">
        <f t="shared" si="2"/>
        <v>NO ES TITULAR</v>
      </c>
      <c r="U50" s="157"/>
      <c r="V50" s="155"/>
      <c r="W50" s="140"/>
    </row>
    <row r="51" spans="1:23" ht="15.75" customHeight="1">
      <c r="A51" s="148"/>
      <c r="B51" s="148"/>
      <c r="C51" s="158" t="e">
        <f>VLOOKUP(B51,MAESTRO!$D$4:$E$10,2,FALSE)</f>
        <v>#N/A</v>
      </c>
      <c r="D51" s="145" t="e">
        <f t="shared" si="4"/>
        <v>#N/A</v>
      </c>
      <c r="E51" s="160"/>
      <c r="F51" s="140"/>
      <c r="G51" s="141" t="e">
        <f>VLOOKUP(F51,MAESTRO!$G$4:$H$14,2,FALSE)</f>
        <v>#N/A</v>
      </c>
      <c r="H51" s="140"/>
      <c r="I51" s="140"/>
      <c r="J51" s="143"/>
      <c r="K51" s="163"/>
      <c r="L51" s="145">
        <f t="shared" ca="1" si="0"/>
        <v>126</v>
      </c>
      <c r="M51" s="166"/>
      <c r="N51" s="144"/>
      <c r="O51" s="145">
        <f t="shared" si="3"/>
        <v>0</v>
      </c>
      <c r="P51" s="168" t="e">
        <f>IF(N51="PRIMERA",
   VLOOKUP(O51,MAESTRO!M:O,2,FALSE),
   VLOOKUP(O51,MAESTRO!M:O,3,FALSE)
)</f>
        <v>#N/A</v>
      </c>
      <c r="Q51" s="148"/>
      <c r="R51" s="148" t="e">
        <f>VLOOKUP(Q51,MAESTRO!$P$5:$Q$8,2,FALSE)</f>
        <v>#N/A</v>
      </c>
      <c r="S51" s="149" t="str">
        <f t="shared" si="1"/>
        <v>NO ES TITULAR</v>
      </c>
      <c r="T51" s="154" t="str">
        <f t="shared" si="2"/>
        <v>NO ES TITULAR</v>
      </c>
      <c r="U51" s="157"/>
      <c r="V51" s="155"/>
      <c r="W51" s="140"/>
    </row>
    <row r="52" spans="1:23" ht="15.75" customHeight="1">
      <c r="A52" s="148"/>
      <c r="B52" s="148"/>
      <c r="C52" s="158" t="e">
        <f>VLOOKUP(B52,MAESTRO!$D$4:$E$10,2,FALSE)</f>
        <v>#N/A</v>
      </c>
      <c r="D52" s="145" t="e">
        <f t="shared" si="4"/>
        <v>#N/A</v>
      </c>
      <c r="E52" s="160"/>
      <c r="F52" s="140"/>
      <c r="G52" s="141" t="e">
        <f>VLOOKUP(F52,MAESTRO!$G$4:$H$14,2,FALSE)</f>
        <v>#N/A</v>
      </c>
      <c r="H52" s="140"/>
      <c r="I52" s="140"/>
      <c r="J52" s="143"/>
      <c r="K52" s="163"/>
      <c r="L52" s="145">
        <f t="shared" ca="1" si="0"/>
        <v>126</v>
      </c>
      <c r="M52" s="166"/>
      <c r="N52" s="144"/>
      <c r="O52" s="145">
        <f t="shared" si="3"/>
        <v>0</v>
      </c>
      <c r="P52" s="168" t="e">
        <f>IF(N52="PRIMERA",
   VLOOKUP(O52,MAESTRO!M:O,2,FALSE),
   VLOOKUP(O52,MAESTRO!M:O,3,FALSE)
)</f>
        <v>#N/A</v>
      </c>
      <c r="Q52" s="148"/>
      <c r="R52" s="148" t="e">
        <f>VLOOKUP(Q52,MAESTRO!$P$5:$Q$8,2,FALSE)</f>
        <v>#N/A</v>
      </c>
      <c r="S52" s="149" t="str">
        <f t="shared" si="1"/>
        <v>NO ES TITULAR</v>
      </c>
      <c r="T52" s="154" t="str">
        <f t="shared" si="2"/>
        <v>NO ES TITULAR</v>
      </c>
      <c r="U52" s="157"/>
      <c r="V52" s="155"/>
      <c r="W52" s="140"/>
    </row>
    <row r="53" spans="1:23" ht="15.75" customHeight="1">
      <c r="A53" s="148"/>
      <c r="B53" s="148"/>
      <c r="C53" s="158" t="e">
        <f>VLOOKUP(B53,MAESTRO!$D$4:$E$10,2,FALSE)</f>
        <v>#N/A</v>
      </c>
      <c r="D53" s="145" t="e">
        <f t="shared" si="4"/>
        <v>#N/A</v>
      </c>
      <c r="E53" s="160"/>
      <c r="F53" s="140"/>
      <c r="G53" s="141" t="e">
        <f>VLOOKUP(F53,MAESTRO!$G$4:$H$14,2,FALSE)</f>
        <v>#N/A</v>
      </c>
      <c r="H53" s="140"/>
      <c r="I53" s="140"/>
      <c r="J53" s="143"/>
      <c r="K53" s="163"/>
      <c r="L53" s="145">
        <f t="shared" ca="1" si="0"/>
        <v>126</v>
      </c>
      <c r="M53" s="166"/>
      <c r="N53" s="144"/>
      <c r="O53" s="145">
        <f t="shared" si="3"/>
        <v>0</v>
      </c>
      <c r="P53" s="168" t="e">
        <f>IF(N53="PRIMERA",
   VLOOKUP(O53,MAESTRO!M:O,2,FALSE),
   VLOOKUP(O53,MAESTRO!M:O,3,FALSE)
)</f>
        <v>#N/A</v>
      </c>
      <c r="Q53" s="148"/>
      <c r="R53" s="148" t="e">
        <f>VLOOKUP(Q53,MAESTRO!$P$5:$Q$8,2,FALSE)</f>
        <v>#N/A</v>
      </c>
      <c r="S53" s="149" t="str">
        <f t="shared" si="1"/>
        <v>NO ES TITULAR</v>
      </c>
      <c r="T53" s="154" t="str">
        <f t="shared" si="2"/>
        <v>NO ES TITULAR</v>
      </c>
      <c r="U53" s="157"/>
      <c r="V53" s="155"/>
      <c r="W53" s="140"/>
    </row>
    <row r="54" spans="1:23" ht="15.75" customHeight="1">
      <c r="A54" s="148"/>
      <c r="B54" s="148"/>
      <c r="C54" s="158" t="e">
        <f>VLOOKUP(B54,MAESTRO!$D$4:$E$10,2,FALSE)</f>
        <v>#N/A</v>
      </c>
      <c r="D54" s="145" t="e">
        <f t="shared" si="4"/>
        <v>#N/A</v>
      </c>
      <c r="E54" s="160"/>
      <c r="F54" s="140"/>
      <c r="G54" s="141" t="e">
        <f>VLOOKUP(F54,MAESTRO!$G$4:$H$14,2,FALSE)</f>
        <v>#N/A</v>
      </c>
      <c r="H54" s="140"/>
      <c r="I54" s="140"/>
      <c r="J54" s="143"/>
      <c r="K54" s="163"/>
      <c r="L54" s="145">
        <f t="shared" ca="1" si="0"/>
        <v>126</v>
      </c>
      <c r="M54" s="166"/>
      <c r="N54" s="144"/>
      <c r="O54" s="145">
        <f t="shared" si="3"/>
        <v>0</v>
      </c>
      <c r="P54" s="168" t="e">
        <f>IF(N54="PRIMERA",
   VLOOKUP(O54,MAESTRO!M:O,2,FALSE),
   VLOOKUP(O54,MAESTRO!M:O,3,FALSE)
)</f>
        <v>#N/A</v>
      </c>
      <c r="Q54" s="148"/>
      <c r="R54" s="148" t="e">
        <f>VLOOKUP(Q54,MAESTRO!$P$5:$Q$8,2,FALSE)</f>
        <v>#N/A</v>
      </c>
      <c r="S54" s="149" t="str">
        <f t="shared" si="1"/>
        <v>NO ES TITULAR</v>
      </c>
      <c r="T54" s="154" t="str">
        <f t="shared" si="2"/>
        <v>NO ES TITULAR</v>
      </c>
      <c r="U54" s="157"/>
      <c r="V54" s="155"/>
      <c r="W54" s="140"/>
    </row>
    <row r="55" spans="1:23" ht="15.75" customHeight="1">
      <c r="A55" s="148"/>
      <c r="B55" s="148"/>
      <c r="C55" s="158" t="e">
        <f>VLOOKUP(B55,MAESTRO!$D$4:$E$10,2,FALSE)</f>
        <v>#N/A</v>
      </c>
      <c r="D55" s="145" t="e">
        <f t="shared" si="4"/>
        <v>#N/A</v>
      </c>
      <c r="E55" s="160"/>
      <c r="F55" s="140"/>
      <c r="G55" s="141" t="e">
        <f>VLOOKUP(F55,MAESTRO!$G$4:$H$14,2,FALSE)</f>
        <v>#N/A</v>
      </c>
      <c r="H55" s="140"/>
      <c r="I55" s="140"/>
      <c r="J55" s="143"/>
      <c r="K55" s="163"/>
      <c r="L55" s="145">
        <f t="shared" ca="1" si="0"/>
        <v>126</v>
      </c>
      <c r="M55" s="166"/>
      <c r="N55" s="144"/>
      <c r="O55" s="145">
        <f t="shared" si="3"/>
        <v>0</v>
      </c>
      <c r="P55" s="168" t="e">
        <f>IF(N55="PRIMERA",
   VLOOKUP(O55,MAESTRO!M:O,2,FALSE),
   VLOOKUP(O55,MAESTRO!M:O,3,FALSE)
)</f>
        <v>#N/A</v>
      </c>
      <c r="Q55" s="148"/>
      <c r="R55" s="148" t="e">
        <f>VLOOKUP(Q55,MAESTRO!$P$5:$Q$8,2,FALSE)</f>
        <v>#N/A</v>
      </c>
      <c r="S55" s="149" t="str">
        <f t="shared" si="1"/>
        <v>NO ES TITULAR</v>
      </c>
      <c r="T55" s="154" t="str">
        <f t="shared" si="2"/>
        <v>NO ES TITULAR</v>
      </c>
      <c r="U55" s="157"/>
      <c r="V55" s="155"/>
      <c r="W55" s="140"/>
    </row>
    <row r="56" spans="1:23" ht="15.75" customHeight="1">
      <c r="A56" s="148"/>
      <c r="B56" s="148"/>
      <c r="C56" s="158" t="e">
        <f>VLOOKUP(B56,MAESTRO!$D$4:$E$10,2,FALSE)</f>
        <v>#N/A</v>
      </c>
      <c r="D56" s="145" t="e">
        <f t="shared" si="4"/>
        <v>#N/A</v>
      </c>
      <c r="E56" s="160"/>
      <c r="F56" s="140"/>
      <c r="G56" s="141" t="e">
        <f>VLOOKUP(F56,MAESTRO!$G$4:$H$14,2,FALSE)</f>
        <v>#N/A</v>
      </c>
      <c r="H56" s="140"/>
      <c r="I56" s="140"/>
      <c r="J56" s="143"/>
      <c r="K56" s="163"/>
      <c r="L56" s="145">
        <f t="shared" ca="1" si="0"/>
        <v>126</v>
      </c>
      <c r="M56" s="166"/>
      <c r="N56" s="144"/>
      <c r="O56" s="145">
        <f t="shared" si="3"/>
        <v>0</v>
      </c>
      <c r="P56" s="168" t="e">
        <f>IF(N56="PRIMERA",
   VLOOKUP(O56,MAESTRO!M:O,2,FALSE),
   VLOOKUP(O56,MAESTRO!M:O,3,FALSE)
)</f>
        <v>#N/A</v>
      </c>
      <c r="Q56" s="148"/>
      <c r="R56" s="148" t="e">
        <f>VLOOKUP(Q56,MAESTRO!$P$5:$Q$8,2,FALSE)</f>
        <v>#N/A</v>
      </c>
      <c r="S56" s="149" t="str">
        <f t="shared" si="1"/>
        <v>NO ES TITULAR</v>
      </c>
      <c r="T56" s="154" t="str">
        <f t="shared" si="2"/>
        <v>NO ES TITULAR</v>
      </c>
      <c r="U56" s="157"/>
      <c r="V56" s="155"/>
      <c r="W56" s="140"/>
    </row>
    <row r="57" spans="1:23" ht="15.75" customHeight="1">
      <c r="A57" s="148"/>
      <c r="B57" s="148"/>
      <c r="C57" s="158" t="e">
        <f>VLOOKUP(B57,MAESTRO!$D$4:$E$10,2,FALSE)</f>
        <v>#N/A</v>
      </c>
      <c r="D57" s="145" t="e">
        <f t="shared" si="4"/>
        <v>#N/A</v>
      </c>
      <c r="E57" s="160"/>
      <c r="F57" s="140"/>
      <c r="G57" s="141" t="e">
        <f>VLOOKUP(F57,MAESTRO!$G$4:$H$14,2,FALSE)</f>
        <v>#N/A</v>
      </c>
      <c r="H57" s="140"/>
      <c r="I57" s="140"/>
      <c r="J57" s="143"/>
      <c r="K57" s="163"/>
      <c r="L57" s="145">
        <f t="shared" ca="1" si="0"/>
        <v>126</v>
      </c>
      <c r="M57" s="166"/>
      <c r="N57" s="144"/>
      <c r="O57" s="145">
        <f t="shared" si="3"/>
        <v>0</v>
      </c>
      <c r="P57" s="168" t="e">
        <f>IF(N57="PRIMERA",
   VLOOKUP(O57,MAESTRO!M:O,2,FALSE),
   VLOOKUP(O57,MAESTRO!M:O,3,FALSE)
)</f>
        <v>#N/A</v>
      </c>
      <c r="Q57" s="148"/>
      <c r="R57" s="148" t="e">
        <f>VLOOKUP(Q57,MAESTRO!$P$5:$Q$8,2,FALSE)</f>
        <v>#N/A</v>
      </c>
      <c r="S57" s="149" t="str">
        <f t="shared" si="1"/>
        <v>NO ES TITULAR</v>
      </c>
      <c r="T57" s="154" t="str">
        <f t="shared" si="2"/>
        <v>NO ES TITULAR</v>
      </c>
      <c r="U57" s="157"/>
      <c r="V57" s="155"/>
      <c r="W57" s="140"/>
    </row>
    <row r="58" spans="1:23" ht="15.75" customHeight="1">
      <c r="A58" s="148"/>
      <c r="B58" s="148"/>
      <c r="C58" s="158" t="e">
        <f>VLOOKUP(B58,MAESTRO!$D$4:$E$10,2,FALSE)</f>
        <v>#N/A</v>
      </c>
      <c r="D58" s="145" t="e">
        <f t="shared" si="4"/>
        <v>#N/A</v>
      </c>
      <c r="E58" s="160"/>
      <c r="F58" s="140"/>
      <c r="G58" s="141" t="e">
        <f>VLOOKUP(F58,MAESTRO!$G$4:$H$14,2,FALSE)</f>
        <v>#N/A</v>
      </c>
      <c r="H58" s="140"/>
      <c r="I58" s="140"/>
      <c r="J58" s="143"/>
      <c r="K58" s="163"/>
      <c r="L58" s="145">
        <f t="shared" ca="1" si="0"/>
        <v>126</v>
      </c>
      <c r="M58" s="166"/>
      <c r="N58" s="144"/>
      <c r="O58" s="145">
        <f t="shared" si="3"/>
        <v>0</v>
      </c>
      <c r="P58" s="168" t="e">
        <f>IF(N58="PRIMERA",
   VLOOKUP(O58,MAESTRO!M:O,2,FALSE),
   VLOOKUP(O58,MAESTRO!M:O,3,FALSE)
)</f>
        <v>#N/A</v>
      </c>
      <c r="Q58" s="148"/>
      <c r="R58" s="148" t="e">
        <f>VLOOKUP(Q58,MAESTRO!$P$5:$Q$8,2,FALSE)</f>
        <v>#N/A</v>
      </c>
      <c r="S58" s="149" t="str">
        <f t="shared" si="1"/>
        <v>NO ES TITULAR</v>
      </c>
      <c r="T58" s="154" t="str">
        <f t="shared" si="2"/>
        <v>NO ES TITULAR</v>
      </c>
      <c r="U58" s="157"/>
      <c r="V58" s="155"/>
      <c r="W58" s="140"/>
    </row>
    <row r="59" spans="1:23" ht="15.75" customHeight="1">
      <c r="A59" s="148"/>
      <c r="B59" s="148"/>
      <c r="C59" s="158" t="e">
        <f>VLOOKUP(B59,MAESTRO!$D$4:$E$10,2,FALSE)</f>
        <v>#N/A</v>
      </c>
      <c r="D59" s="145" t="e">
        <f t="shared" si="4"/>
        <v>#N/A</v>
      </c>
      <c r="E59" s="160"/>
      <c r="F59" s="140"/>
      <c r="G59" s="141" t="e">
        <f>VLOOKUP(F59,MAESTRO!$G$4:$H$14,2,FALSE)</f>
        <v>#N/A</v>
      </c>
      <c r="H59" s="140"/>
      <c r="I59" s="140"/>
      <c r="J59" s="143"/>
      <c r="K59" s="163"/>
      <c r="L59" s="145">
        <f t="shared" ca="1" si="0"/>
        <v>126</v>
      </c>
      <c r="M59" s="166"/>
      <c r="N59" s="144"/>
      <c r="O59" s="145">
        <f t="shared" si="3"/>
        <v>0</v>
      </c>
      <c r="P59" s="168" t="e">
        <f>IF(N59="PRIMERA",
   VLOOKUP(O59,MAESTRO!M:O,2,FALSE),
   VLOOKUP(O59,MAESTRO!M:O,3,FALSE)
)</f>
        <v>#N/A</v>
      </c>
      <c r="Q59" s="148"/>
      <c r="R59" s="148" t="e">
        <f>VLOOKUP(Q59,MAESTRO!$P$5:$Q$8,2,FALSE)</f>
        <v>#N/A</v>
      </c>
      <c r="S59" s="149" t="str">
        <f t="shared" si="1"/>
        <v>NO ES TITULAR</v>
      </c>
      <c r="T59" s="154" t="str">
        <f t="shared" si="2"/>
        <v>NO ES TITULAR</v>
      </c>
      <c r="U59" s="157"/>
      <c r="V59" s="155"/>
      <c r="W59" s="140"/>
    </row>
    <row r="60" spans="1:23" ht="15.75" customHeight="1">
      <c r="A60" s="148"/>
      <c r="B60" s="148"/>
      <c r="C60" s="158" t="e">
        <f>VLOOKUP(B60,MAESTRO!$D$4:$E$10,2,FALSE)</f>
        <v>#N/A</v>
      </c>
      <c r="D60" s="145" t="e">
        <f t="shared" si="4"/>
        <v>#N/A</v>
      </c>
      <c r="E60" s="160"/>
      <c r="F60" s="140"/>
      <c r="G60" s="141" t="e">
        <f>VLOOKUP(F60,MAESTRO!$G$4:$H$14,2,FALSE)</f>
        <v>#N/A</v>
      </c>
      <c r="H60" s="140"/>
      <c r="I60" s="140"/>
      <c r="J60" s="143"/>
      <c r="K60" s="163"/>
      <c r="L60" s="145">
        <f t="shared" ca="1" si="0"/>
        <v>126</v>
      </c>
      <c r="M60" s="166"/>
      <c r="N60" s="144"/>
      <c r="O60" s="145">
        <f t="shared" si="3"/>
        <v>0</v>
      </c>
      <c r="P60" s="168" t="e">
        <f>IF(N60="PRIMERA",
   VLOOKUP(O60,MAESTRO!M:O,2,FALSE),
   VLOOKUP(O60,MAESTRO!M:O,3,FALSE)
)</f>
        <v>#N/A</v>
      </c>
      <c r="Q60" s="148"/>
      <c r="R60" s="148" t="e">
        <f>VLOOKUP(Q60,MAESTRO!$P$5:$Q$8,2,FALSE)</f>
        <v>#N/A</v>
      </c>
      <c r="S60" s="149" t="str">
        <f t="shared" si="1"/>
        <v>NO ES TITULAR</v>
      </c>
      <c r="T60" s="154" t="str">
        <f t="shared" si="2"/>
        <v>NO ES TITULAR</v>
      </c>
      <c r="U60" s="157"/>
      <c r="V60" s="155"/>
      <c r="W60" s="140"/>
    </row>
    <row r="61" spans="1:23" ht="15.75" customHeight="1">
      <c r="A61" s="148"/>
      <c r="B61" s="148"/>
      <c r="C61" s="158" t="e">
        <f>VLOOKUP(B61,MAESTRO!$D$4:$E$10,2,FALSE)</f>
        <v>#N/A</v>
      </c>
      <c r="D61" s="145" t="e">
        <f t="shared" si="4"/>
        <v>#N/A</v>
      </c>
      <c r="E61" s="160"/>
      <c r="F61" s="140"/>
      <c r="G61" s="141" t="e">
        <f>VLOOKUP(F61,MAESTRO!$G$4:$H$14,2,FALSE)</f>
        <v>#N/A</v>
      </c>
      <c r="H61" s="140"/>
      <c r="I61" s="140"/>
      <c r="J61" s="143"/>
      <c r="K61" s="163"/>
      <c r="L61" s="145">
        <f t="shared" ca="1" si="0"/>
        <v>126</v>
      </c>
      <c r="M61" s="166"/>
      <c r="N61" s="144"/>
      <c r="O61" s="145">
        <f t="shared" si="3"/>
        <v>0</v>
      </c>
      <c r="P61" s="168" t="e">
        <f>IF(N61="PRIMERA",
   VLOOKUP(O61,MAESTRO!M:O,2,FALSE),
   VLOOKUP(O61,MAESTRO!M:O,3,FALSE)
)</f>
        <v>#N/A</v>
      </c>
      <c r="Q61" s="148"/>
      <c r="R61" s="148" t="e">
        <f>VLOOKUP(Q61,MAESTRO!$P$5:$Q$8,2,FALSE)</f>
        <v>#N/A</v>
      </c>
      <c r="S61" s="149" t="str">
        <f t="shared" si="1"/>
        <v>NO ES TITULAR</v>
      </c>
      <c r="T61" s="154" t="str">
        <f t="shared" si="2"/>
        <v>NO ES TITULAR</v>
      </c>
      <c r="U61" s="157"/>
      <c r="V61" s="155"/>
      <c r="W61" s="140"/>
    </row>
    <row r="62" spans="1:23" ht="15.75" customHeight="1">
      <c r="A62" s="148"/>
      <c r="B62" s="148"/>
      <c r="C62" s="158" t="e">
        <f>VLOOKUP(B62,MAESTRO!$D$4:$E$10,2,FALSE)</f>
        <v>#N/A</v>
      </c>
      <c r="D62" s="145" t="e">
        <f t="shared" si="4"/>
        <v>#N/A</v>
      </c>
      <c r="E62" s="160"/>
      <c r="F62" s="140"/>
      <c r="G62" s="141" t="e">
        <f>VLOOKUP(F62,MAESTRO!$G$4:$H$14,2,FALSE)</f>
        <v>#N/A</v>
      </c>
      <c r="H62" s="140"/>
      <c r="I62" s="140"/>
      <c r="J62" s="143"/>
      <c r="K62" s="163"/>
      <c r="L62" s="145">
        <f t="shared" ca="1" si="0"/>
        <v>126</v>
      </c>
      <c r="M62" s="166"/>
      <c r="N62" s="144"/>
      <c r="O62" s="145">
        <f t="shared" si="3"/>
        <v>0</v>
      </c>
      <c r="P62" s="168" t="e">
        <f>IF(N62="PRIMERA",
   VLOOKUP(O62,MAESTRO!M:O,2,FALSE),
   VLOOKUP(O62,MAESTRO!M:O,3,FALSE)
)</f>
        <v>#N/A</v>
      </c>
      <c r="Q62" s="148"/>
      <c r="R62" s="148" t="e">
        <f>VLOOKUP(Q62,MAESTRO!$P$5:$Q$8,2,FALSE)</f>
        <v>#N/A</v>
      </c>
      <c r="S62" s="149" t="str">
        <f t="shared" si="1"/>
        <v>NO ES TITULAR</v>
      </c>
      <c r="T62" s="154" t="str">
        <f t="shared" si="2"/>
        <v>NO ES TITULAR</v>
      </c>
      <c r="U62" s="157"/>
      <c r="V62" s="155"/>
      <c r="W62" s="140"/>
    </row>
    <row r="63" spans="1:23" ht="15.75" customHeight="1">
      <c r="A63" s="148"/>
      <c r="B63" s="148"/>
      <c r="C63" s="158" t="e">
        <f>VLOOKUP(B63,MAESTRO!$D$4:$E$10,2,FALSE)</f>
        <v>#N/A</v>
      </c>
      <c r="D63" s="145" t="e">
        <f t="shared" si="4"/>
        <v>#N/A</v>
      </c>
      <c r="E63" s="160"/>
      <c r="F63" s="140"/>
      <c r="G63" s="141" t="e">
        <f>VLOOKUP(F63,MAESTRO!$G$4:$H$14,2,FALSE)</f>
        <v>#N/A</v>
      </c>
      <c r="H63" s="140"/>
      <c r="I63" s="140"/>
      <c r="J63" s="143"/>
      <c r="K63" s="163"/>
      <c r="L63" s="145">
        <f t="shared" ca="1" si="0"/>
        <v>126</v>
      </c>
      <c r="M63" s="166"/>
      <c r="N63" s="144"/>
      <c r="O63" s="145">
        <f t="shared" si="3"/>
        <v>0</v>
      </c>
      <c r="P63" s="168" t="e">
        <f>IF(N63="PRIMERA",
   VLOOKUP(O63,MAESTRO!M:O,2,FALSE),
   VLOOKUP(O63,MAESTRO!M:O,3,FALSE)
)</f>
        <v>#N/A</v>
      </c>
      <c r="Q63" s="148"/>
      <c r="R63" s="148" t="e">
        <f>VLOOKUP(Q63,MAESTRO!$P$5:$Q$8,2,FALSE)</f>
        <v>#N/A</v>
      </c>
      <c r="S63" s="149" t="str">
        <f t="shared" si="1"/>
        <v>NO ES TITULAR</v>
      </c>
      <c r="T63" s="154" t="str">
        <f t="shared" si="2"/>
        <v>NO ES TITULAR</v>
      </c>
      <c r="U63" s="157"/>
      <c r="V63" s="155"/>
      <c r="W63" s="140"/>
    </row>
    <row r="64" spans="1:23" ht="15.75" customHeight="1">
      <c r="A64" s="148"/>
      <c r="B64" s="148"/>
      <c r="C64" s="158" t="e">
        <f>VLOOKUP(B64,MAESTRO!$D$4:$E$10,2,FALSE)</f>
        <v>#N/A</v>
      </c>
      <c r="D64" s="145" t="e">
        <f t="shared" si="4"/>
        <v>#N/A</v>
      </c>
      <c r="E64" s="160"/>
      <c r="F64" s="140"/>
      <c r="G64" s="141" t="e">
        <f>VLOOKUP(F64,MAESTRO!$G$4:$H$14,2,FALSE)</f>
        <v>#N/A</v>
      </c>
      <c r="H64" s="140"/>
      <c r="I64" s="140"/>
      <c r="J64" s="143"/>
      <c r="K64" s="163"/>
      <c r="L64" s="145">
        <f t="shared" ca="1" si="0"/>
        <v>126</v>
      </c>
      <c r="M64" s="166"/>
      <c r="N64" s="144"/>
      <c r="O64" s="145">
        <f t="shared" si="3"/>
        <v>0</v>
      </c>
      <c r="P64" s="168" t="e">
        <f>IF(N64="PRIMERA",
   VLOOKUP(O64,MAESTRO!M:O,2,FALSE),
   VLOOKUP(O64,MAESTRO!M:O,3,FALSE)
)</f>
        <v>#N/A</v>
      </c>
      <c r="Q64" s="148"/>
      <c r="R64" s="148" t="e">
        <f>VLOOKUP(Q64,MAESTRO!$P$5:$Q$8,2,FALSE)</f>
        <v>#N/A</v>
      </c>
      <c r="S64" s="149" t="str">
        <f t="shared" si="1"/>
        <v>NO ES TITULAR</v>
      </c>
      <c r="T64" s="154" t="str">
        <f t="shared" si="2"/>
        <v>NO ES TITULAR</v>
      </c>
      <c r="U64" s="157"/>
      <c r="V64" s="155"/>
      <c r="W64" s="140"/>
    </row>
    <row r="65" spans="1:23" ht="15.75" customHeight="1">
      <c r="A65" s="148"/>
      <c r="B65" s="148"/>
      <c r="C65" s="158" t="e">
        <f>VLOOKUP(B65,MAESTRO!$D$4:$E$10,2,FALSE)</f>
        <v>#N/A</v>
      </c>
      <c r="D65" s="145" t="e">
        <f t="shared" si="4"/>
        <v>#N/A</v>
      </c>
      <c r="E65" s="160"/>
      <c r="F65" s="140"/>
      <c r="G65" s="141" t="e">
        <f>VLOOKUP(F65,MAESTRO!$G$4:$H$14,2,FALSE)</f>
        <v>#N/A</v>
      </c>
      <c r="H65" s="140"/>
      <c r="I65" s="140"/>
      <c r="J65" s="143"/>
      <c r="K65" s="163"/>
      <c r="L65" s="145">
        <f t="shared" ca="1" si="0"/>
        <v>126</v>
      </c>
      <c r="M65" s="166"/>
      <c r="N65" s="144"/>
      <c r="O65" s="145">
        <f t="shared" si="3"/>
        <v>0</v>
      </c>
      <c r="P65" s="168" t="e">
        <f>IF(N65="PRIMERA",
   VLOOKUP(O65,MAESTRO!M:O,2,FALSE),
   VLOOKUP(O65,MAESTRO!M:O,3,FALSE)
)</f>
        <v>#N/A</v>
      </c>
      <c r="Q65" s="148"/>
      <c r="R65" s="148" t="e">
        <f>VLOOKUP(Q65,MAESTRO!$P$5:$Q$8,2,FALSE)</f>
        <v>#N/A</v>
      </c>
      <c r="S65" s="149" t="str">
        <f t="shared" si="1"/>
        <v>NO ES TITULAR</v>
      </c>
      <c r="T65" s="154" t="str">
        <f t="shared" si="2"/>
        <v>NO ES TITULAR</v>
      </c>
      <c r="U65" s="157"/>
      <c r="V65" s="155"/>
      <c r="W65" s="140"/>
    </row>
    <row r="66" spans="1:23" ht="15.75" customHeight="1">
      <c r="A66" s="148"/>
      <c r="B66" s="148"/>
      <c r="C66" s="158" t="e">
        <f>VLOOKUP(B66,MAESTRO!$D$4:$E$10,2,FALSE)</f>
        <v>#N/A</v>
      </c>
      <c r="D66" s="145" t="e">
        <f t="shared" si="4"/>
        <v>#N/A</v>
      </c>
      <c r="E66" s="160"/>
      <c r="F66" s="140"/>
      <c r="G66" s="141" t="e">
        <f>VLOOKUP(F66,MAESTRO!$G$4:$H$14,2,FALSE)</f>
        <v>#N/A</v>
      </c>
      <c r="H66" s="140"/>
      <c r="I66" s="140"/>
      <c r="J66" s="143"/>
      <c r="K66" s="163"/>
      <c r="L66" s="145">
        <f t="shared" ref="L66:L129" ca="1" si="5">DATEDIF(K66,TODAY(),"Y")</f>
        <v>126</v>
      </c>
      <c r="M66" s="166"/>
      <c r="N66" s="144"/>
      <c r="O66" s="145">
        <f t="shared" si="3"/>
        <v>0</v>
      </c>
      <c r="P66" s="168" t="e">
        <f>IF(N66="PRIMERA",
   VLOOKUP(O66,MAESTRO!M:O,2,FALSE),
   VLOOKUP(O66,MAESTRO!M:O,3,FALSE)
)</f>
        <v>#N/A</v>
      </c>
      <c r="Q66" s="148"/>
      <c r="R66" s="148" t="e">
        <f>VLOOKUP(Q66,MAESTRO!$P$5:$Q$8,2,FALSE)</f>
        <v>#N/A</v>
      </c>
      <c r="S66" s="149" t="str">
        <f t="shared" si="1"/>
        <v>NO ES TITULAR</v>
      </c>
      <c r="T66" s="154" t="str">
        <f t="shared" si="2"/>
        <v>NO ES TITULAR</v>
      </c>
      <c r="U66" s="157"/>
      <c r="V66" s="155"/>
      <c r="W66" s="140"/>
    </row>
    <row r="67" spans="1:23" ht="15.75" customHeight="1">
      <c r="A67" s="148"/>
      <c r="B67" s="148"/>
      <c r="C67" s="158" t="e">
        <f>VLOOKUP(B67,MAESTRO!$D$4:$E$10,2,FALSE)</f>
        <v>#N/A</v>
      </c>
      <c r="D67" s="145" t="e">
        <f t="shared" si="4"/>
        <v>#N/A</v>
      </c>
      <c r="E67" s="160"/>
      <c r="F67" s="140"/>
      <c r="G67" s="141" t="e">
        <f>VLOOKUP(F67,MAESTRO!$G$4:$H$14,2,FALSE)</f>
        <v>#N/A</v>
      </c>
      <c r="H67" s="140"/>
      <c r="I67" s="140"/>
      <c r="J67" s="143"/>
      <c r="K67" s="163"/>
      <c r="L67" s="145">
        <f t="shared" ca="1" si="5"/>
        <v>126</v>
      </c>
      <c r="M67" s="166"/>
      <c r="N67" s="144"/>
      <c r="O67" s="145">
        <f t="shared" ref="O67:O130" si="6">+B67</f>
        <v>0</v>
      </c>
      <c r="P67" s="168" t="e">
        <f>IF(N67="PRIMERA",
   VLOOKUP(O67,MAESTRO!M:O,2,FALSE),
   VLOOKUP(O67,MAESTRO!M:O,3,FALSE)
)</f>
        <v>#N/A</v>
      </c>
      <c r="Q67" s="148"/>
      <c r="R67" s="148" t="e">
        <f>VLOOKUP(Q67,MAESTRO!$P$5:$Q$8,2,FALSE)</f>
        <v>#N/A</v>
      </c>
      <c r="S67" s="149" t="str">
        <f t="shared" si="1"/>
        <v>NO ES TITULAR</v>
      </c>
      <c r="T67" s="154" t="str">
        <f t="shared" si="2"/>
        <v>NO ES TITULAR</v>
      </c>
      <c r="U67" s="157"/>
      <c r="V67" s="155"/>
      <c r="W67" s="140"/>
    </row>
    <row r="68" spans="1:23" ht="15.75" customHeight="1">
      <c r="A68" s="148"/>
      <c r="B68" s="148"/>
      <c r="C68" s="158" t="e">
        <f>VLOOKUP(B68,MAESTRO!$D$4:$E$10,2,FALSE)</f>
        <v>#N/A</v>
      </c>
      <c r="D68" s="145" t="e">
        <f t="shared" ref="D68:D131" si="7">IF(C68&gt;0,1+D67)</f>
        <v>#N/A</v>
      </c>
      <c r="E68" s="160"/>
      <c r="F68" s="140"/>
      <c r="G68" s="141" t="e">
        <f>VLOOKUP(F68,MAESTRO!$G$4:$H$14,2,FALSE)</f>
        <v>#N/A</v>
      </c>
      <c r="H68" s="140"/>
      <c r="I68" s="140"/>
      <c r="J68" s="143"/>
      <c r="K68" s="163"/>
      <c r="L68" s="145">
        <f t="shared" ca="1" si="5"/>
        <v>126</v>
      </c>
      <c r="M68" s="166"/>
      <c r="N68" s="144"/>
      <c r="O68" s="145">
        <f t="shared" si="6"/>
        <v>0</v>
      </c>
      <c r="P68" s="168" t="e">
        <f>IF(N68="PRIMERA",
   VLOOKUP(O68,MAESTRO!M:O,2,FALSE),
   VLOOKUP(O68,MAESTRO!M:O,3,FALSE)
)</f>
        <v>#N/A</v>
      </c>
      <c r="Q68" s="148"/>
      <c r="R68" s="148" t="e">
        <f>VLOOKUP(Q68,MAESTRO!$P$5:$Q$8,2,FALSE)</f>
        <v>#N/A</v>
      </c>
      <c r="S68" s="149" t="str">
        <f t="shared" si="1"/>
        <v>NO ES TITULAR</v>
      </c>
      <c r="T68" s="154" t="str">
        <f t="shared" si="2"/>
        <v>NO ES TITULAR</v>
      </c>
      <c r="U68" s="157"/>
      <c r="V68" s="155"/>
      <c r="W68" s="140"/>
    </row>
    <row r="69" spans="1:23" ht="15.75" customHeight="1">
      <c r="A69" s="148"/>
      <c r="B69" s="148"/>
      <c r="C69" s="158" t="e">
        <f>VLOOKUP(B69,MAESTRO!$D$4:$E$10,2,FALSE)</f>
        <v>#N/A</v>
      </c>
      <c r="D69" s="145" t="e">
        <f t="shared" si="7"/>
        <v>#N/A</v>
      </c>
      <c r="E69" s="160"/>
      <c r="F69" s="140"/>
      <c r="G69" s="141" t="e">
        <f>VLOOKUP(F69,MAESTRO!$G$4:$H$14,2,FALSE)</f>
        <v>#N/A</v>
      </c>
      <c r="H69" s="140"/>
      <c r="I69" s="140"/>
      <c r="J69" s="143"/>
      <c r="K69" s="163"/>
      <c r="L69" s="145">
        <f t="shared" ca="1" si="5"/>
        <v>126</v>
      </c>
      <c r="M69" s="166"/>
      <c r="N69" s="144"/>
      <c r="O69" s="145">
        <f t="shared" si="6"/>
        <v>0</v>
      </c>
      <c r="P69" s="168" t="e">
        <f>IF(N69="PRIMERA",
   VLOOKUP(O69,MAESTRO!M:O,2,FALSE),
   VLOOKUP(O69,MAESTRO!M:O,3,FALSE)
)</f>
        <v>#N/A</v>
      </c>
      <c r="Q69" s="148"/>
      <c r="R69" s="148" t="e">
        <f>VLOOKUP(Q69,MAESTRO!$P$5:$Q$8,2,FALSE)</f>
        <v>#N/A</v>
      </c>
      <c r="S69" s="149" t="str">
        <f t="shared" si="1"/>
        <v>NO ES TITULAR</v>
      </c>
      <c r="T69" s="154" t="str">
        <f t="shared" si="2"/>
        <v>NO ES TITULAR</v>
      </c>
      <c r="U69" s="157"/>
      <c r="V69" s="155"/>
      <c r="W69" s="140"/>
    </row>
    <row r="70" spans="1:23" ht="15.75" customHeight="1">
      <c r="A70" s="148"/>
      <c r="B70" s="148"/>
      <c r="C70" s="158" t="e">
        <f>VLOOKUP(B70,MAESTRO!$D$4:$E$10,2,FALSE)</f>
        <v>#N/A</v>
      </c>
      <c r="D70" s="145" t="e">
        <f t="shared" si="7"/>
        <v>#N/A</v>
      </c>
      <c r="E70" s="160"/>
      <c r="F70" s="140"/>
      <c r="G70" s="141" t="e">
        <f>VLOOKUP(F70,MAESTRO!$G$4:$H$14,2,FALSE)</f>
        <v>#N/A</v>
      </c>
      <c r="H70" s="140"/>
      <c r="I70" s="140"/>
      <c r="J70" s="143"/>
      <c r="K70" s="163"/>
      <c r="L70" s="145">
        <f t="shared" ca="1" si="5"/>
        <v>126</v>
      </c>
      <c r="M70" s="166"/>
      <c r="N70" s="144"/>
      <c r="O70" s="145">
        <f t="shared" si="6"/>
        <v>0</v>
      </c>
      <c r="P70" s="168" t="e">
        <f>IF(N70="PRIMERA",
   VLOOKUP(O70,MAESTRO!M:O,2,FALSE),
   VLOOKUP(O70,MAESTRO!M:O,3,FALSE)
)</f>
        <v>#N/A</v>
      </c>
      <c r="Q70" s="148"/>
      <c r="R70" s="148" t="e">
        <f>VLOOKUP(Q70,MAESTRO!$P$5:$Q$8,2,FALSE)</f>
        <v>#N/A</v>
      </c>
      <c r="S70" s="149" t="str">
        <f t="shared" si="1"/>
        <v>NO ES TITULAR</v>
      </c>
      <c r="T70" s="154" t="str">
        <f t="shared" si="2"/>
        <v>NO ES TITULAR</v>
      </c>
      <c r="U70" s="157"/>
      <c r="V70" s="155"/>
      <c r="W70" s="140"/>
    </row>
    <row r="71" spans="1:23" ht="15.75" customHeight="1">
      <c r="A71" s="148"/>
      <c r="B71" s="148"/>
      <c r="C71" s="158" t="e">
        <f>VLOOKUP(B71,MAESTRO!$D$4:$E$10,2,FALSE)</f>
        <v>#N/A</v>
      </c>
      <c r="D71" s="145" t="e">
        <f t="shared" si="7"/>
        <v>#N/A</v>
      </c>
      <c r="E71" s="160"/>
      <c r="F71" s="140"/>
      <c r="G71" s="141" t="e">
        <f>VLOOKUP(F71,MAESTRO!$G$4:$H$14,2,FALSE)</f>
        <v>#N/A</v>
      </c>
      <c r="H71" s="140"/>
      <c r="I71" s="140"/>
      <c r="J71" s="143"/>
      <c r="K71" s="163"/>
      <c r="L71" s="145">
        <f t="shared" ca="1" si="5"/>
        <v>126</v>
      </c>
      <c r="M71" s="166"/>
      <c r="N71" s="144"/>
      <c r="O71" s="145">
        <f t="shared" si="6"/>
        <v>0</v>
      </c>
      <c r="P71" s="168" t="e">
        <f>IF(N71="PRIMERA",
   VLOOKUP(O71,MAESTRO!M:O,2,FALSE),
   VLOOKUP(O71,MAESTRO!M:O,3,FALSE)
)</f>
        <v>#N/A</v>
      </c>
      <c r="Q71" s="148"/>
      <c r="R71" s="148" t="e">
        <f>VLOOKUP(Q71,MAESTRO!$P$5:$Q$8,2,FALSE)</f>
        <v>#N/A</v>
      </c>
      <c r="S71" s="149" t="str">
        <f t="shared" si="1"/>
        <v>NO ES TITULAR</v>
      </c>
      <c r="T71" s="154" t="str">
        <f t="shared" si="2"/>
        <v>NO ES TITULAR</v>
      </c>
      <c r="U71" s="157"/>
      <c r="V71" s="155"/>
      <c r="W71" s="140"/>
    </row>
    <row r="72" spans="1:23" ht="15.75" customHeight="1">
      <c r="A72" s="148"/>
      <c r="B72" s="148"/>
      <c r="C72" s="158" t="e">
        <f>VLOOKUP(B72,MAESTRO!$D$4:$E$10,2,FALSE)</f>
        <v>#N/A</v>
      </c>
      <c r="D72" s="145" t="e">
        <f t="shared" si="7"/>
        <v>#N/A</v>
      </c>
      <c r="E72" s="160"/>
      <c r="F72" s="140"/>
      <c r="G72" s="141" t="e">
        <f>VLOOKUP(F72,MAESTRO!$G$4:$H$14,2,FALSE)</f>
        <v>#N/A</v>
      </c>
      <c r="H72" s="140"/>
      <c r="I72" s="140"/>
      <c r="J72" s="143"/>
      <c r="K72" s="163"/>
      <c r="L72" s="145">
        <f t="shared" ca="1" si="5"/>
        <v>126</v>
      </c>
      <c r="M72" s="166"/>
      <c r="N72" s="144"/>
      <c r="O72" s="145">
        <f t="shared" si="6"/>
        <v>0</v>
      </c>
      <c r="P72" s="168" t="e">
        <f>IF(N72="PRIMERA",
   VLOOKUP(O72,MAESTRO!M:O,2,FALSE),
   VLOOKUP(O72,MAESTRO!M:O,3,FALSE)
)</f>
        <v>#N/A</v>
      </c>
      <c r="Q72" s="148"/>
      <c r="R72" s="148" t="e">
        <f>VLOOKUP(Q72,MAESTRO!$P$5:$Q$8,2,FALSE)</f>
        <v>#N/A</v>
      </c>
      <c r="S72" s="149" t="str">
        <f t="shared" si="1"/>
        <v>NO ES TITULAR</v>
      </c>
      <c r="T72" s="154" t="str">
        <f t="shared" si="2"/>
        <v>NO ES TITULAR</v>
      </c>
      <c r="U72" s="157"/>
      <c r="V72" s="155"/>
      <c r="W72" s="140"/>
    </row>
    <row r="73" spans="1:23" ht="15.75" customHeight="1">
      <c r="A73" s="148"/>
      <c r="B73" s="148"/>
      <c r="C73" s="158" t="e">
        <f>VLOOKUP(B73,MAESTRO!$D$4:$E$10,2,FALSE)</f>
        <v>#N/A</v>
      </c>
      <c r="D73" s="145" t="e">
        <f t="shared" si="7"/>
        <v>#N/A</v>
      </c>
      <c r="E73" s="160"/>
      <c r="F73" s="140"/>
      <c r="G73" s="141" t="e">
        <f>VLOOKUP(F73,MAESTRO!$G$4:$H$14,2,FALSE)</f>
        <v>#N/A</v>
      </c>
      <c r="H73" s="140"/>
      <c r="I73" s="140"/>
      <c r="J73" s="143"/>
      <c r="K73" s="163"/>
      <c r="L73" s="145">
        <f t="shared" ca="1" si="5"/>
        <v>126</v>
      </c>
      <c r="M73" s="166"/>
      <c r="N73" s="144"/>
      <c r="O73" s="145">
        <f t="shared" si="6"/>
        <v>0</v>
      </c>
      <c r="P73" s="168" t="e">
        <f>IF(N73="PRIMERA",
   VLOOKUP(O73,MAESTRO!M:O,2,FALSE),
   VLOOKUP(O73,MAESTRO!M:O,3,FALSE)
)</f>
        <v>#N/A</v>
      </c>
      <c r="Q73" s="148"/>
      <c r="R73" s="148" t="e">
        <f>VLOOKUP(Q73,MAESTRO!$P$5:$Q$8,2,FALSE)</f>
        <v>#N/A</v>
      </c>
      <c r="S73" s="149" t="str">
        <f t="shared" si="1"/>
        <v>NO ES TITULAR</v>
      </c>
      <c r="T73" s="154" t="str">
        <f t="shared" si="2"/>
        <v>NO ES TITULAR</v>
      </c>
      <c r="U73" s="157"/>
      <c r="V73" s="155"/>
      <c r="W73" s="140"/>
    </row>
    <row r="74" spans="1:23" ht="15.75" customHeight="1">
      <c r="A74" s="148"/>
      <c r="B74" s="148"/>
      <c r="C74" s="158" t="e">
        <f>VLOOKUP(B74,MAESTRO!$D$4:$E$10,2,FALSE)</f>
        <v>#N/A</v>
      </c>
      <c r="D74" s="145" t="e">
        <f t="shared" si="7"/>
        <v>#N/A</v>
      </c>
      <c r="E74" s="160"/>
      <c r="F74" s="140"/>
      <c r="G74" s="141" t="e">
        <f>VLOOKUP(F74,MAESTRO!$G$4:$H$14,2,FALSE)</f>
        <v>#N/A</v>
      </c>
      <c r="H74" s="140"/>
      <c r="I74" s="140"/>
      <c r="J74" s="143"/>
      <c r="K74" s="163"/>
      <c r="L74" s="145">
        <f t="shared" ca="1" si="5"/>
        <v>126</v>
      </c>
      <c r="M74" s="166"/>
      <c r="N74" s="144"/>
      <c r="O74" s="145">
        <f t="shared" si="6"/>
        <v>0</v>
      </c>
      <c r="P74" s="168" t="e">
        <f>IF(N74="PRIMERA",
   VLOOKUP(O74,MAESTRO!M:O,2,FALSE),
   VLOOKUP(O74,MAESTRO!M:O,3,FALSE)
)</f>
        <v>#N/A</v>
      </c>
      <c r="Q74" s="148"/>
      <c r="R74" s="148" t="e">
        <f>VLOOKUP(Q74,MAESTRO!$P$5:$Q$8,2,FALSE)</f>
        <v>#N/A</v>
      </c>
      <c r="S74" s="149" t="str">
        <f t="shared" si="1"/>
        <v>NO ES TITULAR</v>
      </c>
      <c r="T74" s="154" t="str">
        <f t="shared" si="2"/>
        <v>NO ES TITULAR</v>
      </c>
      <c r="U74" s="157"/>
      <c r="V74" s="155"/>
      <c r="W74" s="140"/>
    </row>
    <row r="75" spans="1:23" ht="15.75" customHeight="1">
      <c r="A75" s="148"/>
      <c r="B75" s="148"/>
      <c r="C75" s="158" t="e">
        <f>VLOOKUP(B75,MAESTRO!$D$4:$E$10,2,FALSE)</f>
        <v>#N/A</v>
      </c>
      <c r="D75" s="145" t="e">
        <f t="shared" si="7"/>
        <v>#N/A</v>
      </c>
      <c r="E75" s="160"/>
      <c r="F75" s="140"/>
      <c r="G75" s="141" t="e">
        <f>VLOOKUP(F75,MAESTRO!$G$4:$H$14,2,FALSE)</f>
        <v>#N/A</v>
      </c>
      <c r="H75" s="140"/>
      <c r="I75" s="140"/>
      <c r="J75" s="143"/>
      <c r="K75" s="163"/>
      <c r="L75" s="145">
        <f t="shared" ca="1" si="5"/>
        <v>126</v>
      </c>
      <c r="M75" s="166"/>
      <c r="N75" s="144"/>
      <c r="O75" s="145">
        <f t="shared" si="6"/>
        <v>0</v>
      </c>
      <c r="P75" s="168" t="e">
        <f>IF(N75="PRIMERA",
   VLOOKUP(O75,MAESTRO!M:O,2,FALSE),
   VLOOKUP(O75,MAESTRO!M:O,3,FALSE)
)</f>
        <v>#N/A</v>
      </c>
      <c r="Q75" s="148"/>
      <c r="R75" s="148" t="e">
        <f>VLOOKUP(Q75,MAESTRO!$P$5:$Q$8,2,FALSE)</f>
        <v>#N/A</v>
      </c>
      <c r="S75" s="149" t="str">
        <f t="shared" si="1"/>
        <v>NO ES TITULAR</v>
      </c>
      <c r="T75" s="154" t="str">
        <f t="shared" si="2"/>
        <v>NO ES TITULAR</v>
      </c>
      <c r="U75" s="157"/>
      <c r="V75" s="155"/>
      <c r="W75" s="140"/>
    </row>
    <row r="76" spans="1:23" ht="15.75" customHeight="1">
      <c r="A76" s="148"/>
      <c r="B76" s="148"/>
      <c r="C76" s="158" t="e">
        <f>VLOOKUP(B76,MAESTRO!$D$4:$E$10,2,FALSE)</f>
        <v>#N/A</v>
      </c>
      <c r="D76" s="145" t="e">
        <f t="shared" si="7"/>
        <v>#N/A</v>
      </c>
      <c r="E76" s="160"/>
      <c r="F76" s="140"/>
      <c r="G76" s="141" t="e">
        <f>VLOOKUP(F76,MAESTRO!$G$4:$H$14,2,FALSE)</f>
        <v>#N/A</v>
      </c>
      <c r="H76" s="140"/>
      <c r="I76" s="140"/>
      <c r="J76" s="143"/>
      <c r="K76" s="163"/>
      <c r="L76" s="145">
        <f t="shared" ca="1" si="5"/>
        <v>126</v>
      </c>
      <c r="M76" s="166"/>
      <c r="N76" s="144"/>
      <c r="O76" s="145">
        <f t="shared" si="6"/>
        <v>0</v>
      </c>
      <c r="P76" s="168" t="e">
        <f>IF(N76="PRIMERA",
   VLOOKUP(O76,MAESTRO!M:O,2,FALSE),
   VLOOKUP(O76,MAESTRO!M:O,3,FALSE)
)</f>
        <v>#N/A</v>
      </c>
      <c r="Q76" s="148"/>
      <c r="R76" s="148" t="e">
        <f>VLOOKUP(Q76,MAESTRO!$P$5:$Q$8,2,FALSE)</f>
        <v>#N/A</v>
      </c>
      <c r="S76" s="149" t="str">
        <f t="shared" si="1"/>
        <v>NO ES TITULAR</v>
      </c>
      <c r="T76" s="154" t="str">
        <f t="shared" si="2"/>
        <v>NO ES TITULAR</v>
      </c>
      <c r="U76" s="157"/>
      <c r="V76" s="155"/>
      <c r="W76" s="140"/>
    </row>
    <row r="77" spans="1:23" ht="15.75" customHeight="1">
      <c r="A77" s="148"/>
      <c r="B77" s="148"/>
      <c r="C77" s="158" t="e">
        <f>VLOOKUP(B77,MAESTRO!$D$4:$E$10,2,FALSE)</f>
        <v>#N/A</v>
      </c>
      <c r="D77" s="145" t="e">
        <f t="shared" si="7"/>
        <v>#N/A</v>
      </c>
      <c r="E77" s="160"/>
      <c r="F77" s="140"/>
      <c r="G77" s="141" t="e">
        <f>VLOOKUP(F77,MAESTRO!$G$4:$H$14,2,FALSE)</f>
        <v>#N/A</v>
      </c>
      <c r="H77" s="140"/>
      <c r="I77" s="140"/>
      <c r="J77" s="143"/>
      <c r="K77" s="163"/>
      <c r="L77" s="145">
        <f t="shared" ca="1" si="5"/>
        <v>126</v>
      </c>
      <c r="M77" s="166"/>
      <c r="N77" s="144"/>
      <c r="O77" s="145">
        <f t="shared" si="6"/>
        <v>0</v>
      </c>
      <c r="P77" s="168" t="e">
        <f>IF(N77="PRIMERA",
   VLOOKUP(O77,MAESTRO!M:O,2,FALSE),
   VLOOKUP(O77,MAESTRO!M:O,3,FALSE)
)</f>
        <v>#N/A</v>
      </c>
      <c r="Q77" s="148"/>
      <c r="R77" s="148" t="e">
        <f>VLOOKUP(Q77,MAESTRO!$P$5:$Q$8,2,FALSE)</f>
        <v>#N/A</v>
      </c>
      <c r="S77" s="149" t="str">
        <f t="shared" si="1"/>
        <v>NO ES TITULAR</v>
      </c>
      <c r="T77" s="154" t="str">
        <f t="shared" si="2"/>
        <v>NO ES TITULAR</v>
      </c>
      <c r="U77" s="157"/>
      <c r="V77" s="155"/>
      <c r="W77" s="140"/>
    </row>
    <row r="78" spans="1:23" ht="15.75" customHeight="1">
      <c r="A78" s="148"/>
      <c r="B78" s="148"/>
      <c r="C78" s="158" t="e">
        <f>VLOOKUP(B78,MAESTRO!$D$4:$E$10,2,FALSE)</f>
        <v>#N/A</v>
      </c>
      <c r="D78" s="145" t="e">
        <f t="shared" si="7"/>
        <v>#N/A</v>
      </c>
      <c r="E78" s="160"/>
      <c r="F78" s="140"/>
      <c r="G78" s="141" t="e">
        <f>VLOOKUP(F78,MAESTRO!$G$4:$H$14,2,FALSE)</f>
        <v>#N/A</v>
      </c>
      <c r="H78" s="140"/>
      <c r="I78" s="140"/>
      <c r="J78" s="143"/>
      <c r="K78" s="163"/>
      <c r="L78" s="145">
        <f t="shared" ca="1" si="5"/>
        <v>126</v>
      </c>
      <c r="M78" s="166"/>
      <c r="N78" s="144"/>
      <c r="O78" s="145">
        <f t="shared" si="6"/>
        <v>0</v>
      </c>
      <c r="P78" s="168" t="e">
        <f>IF(N78="PRIMERA",
   VLOOKUP(O78,MAESTRO!M:O,2,FALSE),
   VLOOKUP(O78,MAESTRO!M:O,3,FALSE)
)</f>
        <v>#N/A</v>
      </c>
      <c r="Q78" s="148"/>
      <c r="R78" s="148" t="e">
        <f>VLOOKUP(Q78,MAESTRO!$P$5:$Q$8,2,FALSE)</f>
        <v>#N/A</v>
      </c>
      <c r="S78" s="149" t="str">
        <f t="shared" si="1"/>
        <v>NO ES TITULAR</v>
      </c>
      <c r="T78" s="154" t="str">
        <f t="shared" si="2"/>
        <v>NO ES TITULAR</v>
      </c>
      <c r="U78" s="157"/>
      <c r="V78" s="155"/>
      <c r="W78" s="140"/>
    </row>
    <row r="79" spans="1:23" ht="15.75" customHeight="1">
      <c r="A79" s="148"/>
      <c r="B79" s="148"/>
      <c r="C79" s="158" t="e">
        <f>VLOOKUP(B79,MAESTRO!$D$4:$E$10,2,FALSE)</f>
        <v>#N/A</v>
      </c>
      <c r="D79" s="145" t="e">
        <f t="shared" si="7"/>
        <v>#N/A</v>
      </c>
      <c r="E79" s="160"/>
      <c r="F79" s="140"/>
      <c r="G79" s="141" t="e">
        <f>VLOOKUP(F79,MAESTRO!$G$4:$H$14,2,FALSE)</f>
        <v>#N/A</v>
      </c>
      <c r="H79" s="140"/>
      <c r="I79" s="140"/>
      <c r="J79" s="143"/>
      <c r="K79" s="163"/>
      <c r="L79" s="145">
        <f t="shared" ca="1" si="5"/>
        <v>126</v>
      </c>
      <c r="M79" s="166"/>
      <c r="N79" s="144"/>
      <c r="O79" s="145">
        <f t="shared" si="6"/>
        <v>0</v>
      </c>
      <c r="P79" s="168" t="e">
        <f>IF(N79="PRIMERA",
   VLOOKUP(O79,MAESTRO!M:O,2,FALSE),
   VLOOKUP(O79,MAESTRO!M:O,3,FALSE)
)</f>
        <v>#N/A</v>
      </c>
      <c r="Q79" s="148"/>
      <c r="R79" s="148" t="e">
        <f>VLOOKUP(Q79,MAESTRO!$P$5:$Q$8,2,FALSE)</f>
        <v>#N/A</v>
      </c>
      <c r="S79" s="149" t="str">
        <f t="shared" si="1"/>
        <v>NO ES TITULAR</v>
      </c>
      <c r="T79" s="154" t="str">
        <f t="shared" si="2"/>
        <v>NO ES TITULAR</v>
      </c>
      <c r="U79" s="157"/>
      <c r="V79" s="155"/>
      <c r="W79" s="140"/>
    </row>
    <row r="80" spans="1:23" ht="15.75" customHeight="1">
      <c r="A80" s="148"/>
      <c r="B80" s="148"/>
      <c r="C80" s="158" t="e">
        <f>VLOOKUP(B80,MAESTRO!$D$4:$E$10,2,FALSE)</f>
        <v>#N/A</v>
      </c>
      <c r="D80" s="145" t="e">
        <f t="shared" si="7"/>
        <v>#N/A</v>
      </c>
      <c r="E80" s="160"/>
      <c r="F80" s="140"/>
      <c r="G80" s="141" t="e">
        <f>VLOOKUP(F80,MAESTRO!$G$4:$H$14,2,FALSE)</f>
        <v>#N/A</v>
      </c>
      <c r="H80" s="140"/>
      <c r="I80" s="140"/>
      <c r="J80" s="143"/>
      <c r="K80" s="163"/>
      <c r="L80" s="145">
        <f t="shared" ca="1" si="5"/>
        <v>126</v>
      </c>
      <c r="M80" s="166"/>
      <c r="N80" s="144"/>
      <c r="O80" s="145">
        <f t="shared" si="6"/>
        <v>0</v>
      </c>
      <c r="P80" s="168" t="e">
        <f>IF(N80="PRIMERA",
   VLOOKUP(O80,MAESTRO!M:O,2,FALSE),
   VLOOKUP(O80,MAESTRO!M:O,3,FALSE)
)</f>
        <v>#N/A</v>
      </c>
      <c r="Q80" s="148"/>
      <c r="R80" s="148" t="e">
        <f>VLOOKUP(Q80,MAESTRO!$P$5:$Q$8,2,FALSE)</f>
        <v>#N/A</v>
      </c>
      <c r="S80" s="149" t="str">
        <f t="shared" si="1"/>
        <v>NO ES TITULAR</v>
      </c>
      <c r="T80" s="154" t="str">
        <f t="shared" si="2"/>
        <v>NO ES TITULAR</v>
      </c>
      <c r="U80" s="157"/>
      <c r="V80" s="155"/>
      <c r="W80" s="140"/>
    </row>
    <row r="81" spans="1:23" ht="15.75" customHeight="1">
      <c r="A81" s="148"/>
      <c r="B81" s="148"/>
      <c r="C81" s="158" t="e">
        <f>VLOOKUP(B81,MAESTRO!$D$4:$E$10,2,FALSE)</f>
        <v>#N/A</v>
      </c>
      <c r="D81" s="145" t="e">
        <f t="shared" si="7"/>
        <v>#N/A</v>
      </c>
      <c r="E81" s="160"/>
      <c r="F81" s="140"/>
      <c r="G81" s="141" t="e">
        <f>VLOOKUP(F81,MAESTRO!$G$4:$H$14,2,FALSE)</f>
        <v>#N/A</v>
      </c>
      <c r="H81" s="140"/>
      <c r="I81" s="140"/>
      <c r="J81" s="143"/>
      <c r="K81" s="163"/>
      <c r="L81" s="145">
        <f t="shared" ca="1" si="5"/>
        <v>126</v>
      </c>
      <c r="M81" s="166"/>
      <c r="N81" s="144"/>
      <c r="O81" s="145">
        <f t="shared" si="6"/>
        <v>0</v>
      </c>
      <c r="P81" s="168" t="e">
        <f>IF(N81="PRIMERA",
   VLOOKUP(O81,MAESTRO!M:O,2,FALSE),
   VLOOKUP(O81,MAESTRO!M:O,3,FALSE)
)</f>
        <v>#N/A</v>
      </c>
      <c r="Q81" s="148"/>
      <c r="R81" s="148" t="e">
        <f>VLOOKUP(Q81,MAESTRO!$P$5:$Q$8,2,FALSE)</f>
        <v>#N/A</v>
      </c>
      <c r="S81" s="149" t="str">
        <f t="shared" si="1"/>
        <v>NO ES TITULAR</v>
      </c>
      <c r="T81" s="154" t="str">
        <f t="shared" si="2"/>
        <v>NO ES TITULAR</v>
      </c>
      <c r="U81" s="157"/>
      <c r="V81" s="155"/>
      <c r="W81" s="140"/>
    </row>
    <row r="82" spans="1:23" ht="15.75" customHeight="1">
      <c r="A82" s="148"/>
      <c r="B82" s="148"/>
      <c r="C82" s="158" t="e">
        <f>VLOOKUP(B82,MAESTRO!$D$4:$E$10,2,FALSE)</f>
        <v>#N/A</v>
      </c>
      <c r="D82" s="145" t="e">
        <f t="shared" si="7"/>
        <v>#N/A</v>
      </c>
      <c r="E82" s="160"/>
      <c r="F82" s="140"/>
      <c r="G82" s="141" t="e">
        <f>VLOOKUP(F82,MAESTRO!$G$4:$H$14,2,FALSE)</f>
        <v>#N/A</v>
      </c>
      <c r="H82" s="140"/>
      <c r="I82" s="140"/>
      <c r="J82" s="143"/>
      <c r="K82" s="163"/>
      <c r="L82" s="145">
        <f t="shared" ca="1" si="5"/>
        <v>126</v>
      </c>
      <c r="M82" s="166"/>
      <c r="N82" s="144"/>
      <c r="O82" s="145">
        <f t="shared" si="6"/>
        <v>0</v>
      </c>
      <c r="P82" s="168" t="e">
        <f>IF(N82="PRIMERA",
   VLOOKUP(O82,MAESTRO!M:O,2,FALSE),
   VLOOKUP(O82,MAESTRO!M:O,3,FALSE)
)</f>
        <v>#N/A</v>
      </c>
      <c r="Q82" s="148"/>
      <c r="R82" s="148" t="e">
        <f>VLOOKUP(Q82,MAESTRO!$P$5:$Q$8,2,FALSE)</f>
        <v>#N/A</v>
      </c>
      <c r="S82" s="149" t="str">
        <f t="shared" si="1"/>
        <v>NO ES TITULAR</v>
      </c>
      <c r="T82" s="154" t="str">
        <f t="shared" si="2"/>
        <v>NO ES TITULAR</v>
      </c>
      <c r="U82" s="157"/>
      <c r="V82" s="155"/>
      <c r="W82" s="140"/>
    </row>
    <row r="83" spans="1:23" ht="15.75" customHeight="1">
      <c r="A83" s="148"/>
      <c r="B83" s="148"/>
      <c r="C83" s="158" t="e">
        <f>VLOOKUP(B83,MAESTRO!$D$4:$E$10,2,FALSE)</f>
        <v>#N/A</v>
      </c>
      <c r="D83" s="145" t="e">
        <f t="shared" si="7"/>
        <v>#N/A</v>
      </c>
      <c r="E83" s="160"/>
      <c r="F83" s="140"/>
      <c r="G83" s="141" t="e">
        <f>VLOOKUP(F83,MAESTRO!$G$4:$H$14,2,FALSE)</f>
        <v>#N/A</v>
      </c>
      <c r="H83" s="140"/>
      <c r="I83" s="140"/>
      <c r="J83" s="143"/>
      <c r="K83" s="163"/>
      <c r="L83" s="145">
        <f t="shared" ca="1" si="5"/>
        <v>126</v>
      </c>
      <c r="M83" s="166"/>
      <c r="N83" s="144"/>
      <c r="O83" s="145">
        <f t="shared" si="6"/>
        <v>0</v>
      </c>
      <c r="P83" s="168" t="e">
        <f>IF(N83="PRIMERA",
   VLOOKUP(O83,MAESTRO!M:O,2,FALSE),
   VLOOKUP(O83,MAESTRO!M:O,3,FALSE)
)</f>
        <v>#N/A</v>
      </c>
      <c r="Q83" s="148"/>
      <c r="R83" s="148" t="e">
        <f>VLOOKUP(Q83,MAESTRO!$P$5:$Q$8,2,FALSE)</f>
        <v>#N/A</v>
      </c>
      <c r="S83" s="149" t="str">
        <f t="shared" si="1"/>
        <v>NO ES TITULAR</v>
      </c>
      <c r="T83" s="154" t="str">
        <f t="shared" si="2"/>
        <v>NO ES TITULAR</v>
      </c>
      <c r="U83" s="157"/>
      <c r="V83" s="155"/>
      <c r="W83" s="140"/>
    </row>
    <row r="84" spans="1:23" ht="15.75" customHeight="1">
      <c r="A84" s="148"/>
      <c r="B84" s="148"/>
      <c r="C84" s="158" t="e">
        <f>VLOOKUP(B84,MAESTRO!$D$4:$E$10,2,FALSE)</f>
        <v>#N/A</v>
      </c>
      <c r="D84" s="145" t="e">
        <f t="shared" si="7"/>
        <v>#N/A</v>
      </c>
      <c r="E84" s="160"/>
      <c r="F84" s="140"/>
      <c r="G84" s="141" t="e">
        <f>VLOOKUP(F84,MAESTRO!$G$4:$H$14,2,FALSE)</f>
        <v>#N/A</v>
      </c>
      <c r="H84" s="140"/>
      <c r="I84" s="140"/>
      <c r="J84" s="143"/>
      <c r="K84" s="163"/>
      <c r="L84" s="145">
        <f t="shared" ca="1" si="5"/>
        <v>126</v>
      </c>
      <c r="M84" s="166"/>
      <c r="N84" s="144"/>
      <c r="O84" s="145">
        <f t="shared" si="6"/>
        <v>0</v>
      </c>
      <c r="P84" s="168" t="e">
        <f>IF(N84="PRIMERA",
   VLOOKUP(O84,MAESTRO!M:O,2,FALSE),
   VLOOKUP(O84,MAESTRO!M:O,3,FALSE)
)</f>
        <v>#N/A</v>
      </c>
      <c r="Q84" s="148"/>
      <c r="R84" s="148" t="e">
        <f>VLOOKUP(Q84,MAESTRO!$P$5:$Q$8,2,FALSE)</f>
        <v>#N/A</v>
      </c>
      <c r="S84" s="149" t="str">
        <f t="shared" si="1"/>
        <v>NO ES TITULAR</v>
      </c>
      <c r="T84" s="154" t="str">
        <f t="shared" si="2"/>
        <v>NO ES TITULAR</v>
      </c>
      <c r="U84" s="157"/>
      <c r="V84" s="155"/>
      <c r="W84" s="140"/>
    </row>
    <row r="85" spans="1:23" ht="15.75" customHeight="1">
      <c r="A85" s="148"/>
      <c r="B85" s="148"/>
      <c r="C85" s="158" t="e">
        <f>VLOOKUP(B85,MAESTRO!$D$4:$E$10,2,FALSE)</f>
        <v>#N/A</v>
      </c>
      <c r="D85" s="145" t="e">
        <f t="shared" si="7"/>
        <v>#N/A</v>
      </c>
      <c r="E85" s="160"/>
      <c r="F85" s="140"/>
      <c r="G85" s="141" t="e">
        <f>VLOOKUP(F85,MAESTRO!$G$4:$H$14,2,FALSE)</f>
        <v>#N/A</v>
      </c>
      <c r="H85" s="140"/>
      <c r="I85" s="140"/>
      <c r="J85" s="143"/>
      <c r="K85" s="163"/>
      <c r="L85" s="145">
        <f t="shared" ca="1" si="5"/>
        <v>126</v>
      </c>
      <c r="M85" s="166"/>
      <c r="N85" s="144"/>
      <c r="O85" s="145">
        <f t="shared" si="6"/>
        <v>0</v>
      </c>
      <c r="P85" s="168" t="e">
        <f>IF(N85="PRIMERA",
   VLOOKUP(O85,MAESTRO!M:O,2,FALSE),
   VLOOKUP(O85,MAESTRO!M:O,3,FALSE)
)</f>
        <v>#N/A</v>
      </c>
      <c r="Q85" s="148"/>
      <c r="R85" s="148" t="e">
        <f>VLOOKUP(Q85,MAESTRO!$P$5:$Q$8,2,FALSE)</f>
        <v>#N/A</v>
      </c>
      <c r="S85" s="149" t="str">
        <f t="shared" si="1"/>
        <v>NO ES TITULAR</v>
      </c>
      <c r="T85" s="154" t="str">
        <f t="shared" si="2"/>
        <v>NO ES TITULAR</v>
      </c>
      <c r="U85" s="157"/>
      <c r="V85" s="155"/>
      <c r="W85" s="140"/>
    </row>
    <row r="86" spans="1:23" ht="15.75" customHeight="1">
      <c r="A86" s="148"/>
      <c r="B86" s="148"/>
      <c r="C86" s="158" t="e">
        <f>VLOOKUP(B86,MAESTRO!$D$4:$E$10,2,FALSE)</f>
        <v>#N/A</v>
      </c>
      <c r="D86" s="145" t="e">
        <f t="shared" si="7"/>
        <v>#N/A</v>
      </c>
      <c r="E86" s="160"/>
      <c r="F86" s="140"/>
      <c r="G86" s="141" t="e">
        <f>VLOOKUP(F86,MAESTRO!$G$4:$H$14,2,FALSE)</f>
        <v>#N/A</v>
      </c>
      <c r="H86" s="140"/>
      <c r="I86" s="140"/>
      <c r="J86" s="143"/>
      <c r="K86" s="163"/>
      <c r="L86" s="145">
        <f t="shared" ca="1" si="5"/>
        <v>126</v>
      </c>
      <c r="M86" s="166"/>
      <c r="N86" s="144"/>
      <c r="O86" s="145">
        <f t="shared" si="6"/>
        <v>0</v>
      </c>
      <c r="P86" s="168" t="e">
        <f>IF(N86="PRIMERA",
   VLOOKUP(O86,MAESTRO!M:O,2,FALSE),
   VLOOKUP(O86,MAESTRO!M:O,3,FALSE)
)</f>
        <v>#N/A</v>
      </c>
      <c r="Q86" s="148"/>
      <c r="R86" s="148" t="e">
        <f>VLOOKUP(Q86,MAESTRO!$P$5:$Q$8,2,FALSE)</f>
        <v>#N/A</v>
      </c>
      <c r="S86" s="149" t="str">
        <f t="shared" si="1"/>
        <v>NO ES TITULAR</v>
      </c>
      <c r="T86" s="154" t="str">
        <f t="shared" si="2"/>
        <v>NO ES TITULAR</v>
      </c>
      <c r="U86" s="157"/>
      <c r="V86" s="155"/>
      <c r="W86" s="140"/>
    </row>
    <row r="87" spans="1:23" ht="15.75" customHeight="1">
      <c r="A87" s="148"/>
      <c r="B87" s="148"/>
      <c r="C87" s="158" t="e">
        <f>VLOOKUP(B87,MAESTRO!$D$4:$E$10,2,FALSE)</f>
        <v>#N/A</v>
      </c>
      <c r="D87" s="145" t="e">
        <f t="shared" si="7"/>
        <v>#N/A</v>
      </c>
      <c r="E87" s="160"/>
      <c r="F87" s="140"/>
      <c r="G87" s="141" t="e">
        <f>VLOOKUP(F87,MAESTRO!$G$4:$H$14,2,FALSE)</f>
        <v>#N/A</v>
      </c>
      <c r="H87" s="140"/>
      <c r="I87" s="140"/>
      <c r="J87" s="143"/>
      <c r="K87" s="163"/>
      <c r="L87" s="145">
        <f t="shared" ca="1" si="5"/>
        <v>126</v>
      </c>
      <c r="M87" s="166"/>
      <c r="N87" s="144"/>
      <c r="O87" s="145">
        <f t="shared" si="6"/>
        <v>0</v>
      </c>
      <c r="P87" s="168" t="e">
        <f>IF(N87="PRIMERA",
   VLOOKUP(O87,MAESTRO!M:O,2,FALSE),
   VLOOKUP(O87,MAESTRO!M:O,3,FALSE)
)</f>
        <v>#N/A</v>
      </c>
      <c r="Q87" s="148"/>
      <c r="R87" s="148" t="e">
        <f>VLOOKUP(Q87,MAESTRO!$P$5:$Q$8,2,FALSE)</f>
        <v>#N/A</v>
      </c>
      <c r="S87" s="149" t="str">
        <f t="shared" si="1"/>
        <v>NO ES TITULAR</v>
      </c>
      <c r="T87" s="154" t="str">
        <f t="shared" si="2"/>
        <v>NO ES TITULAR</v>
      </c>
      <c r="U87" s="157"/>
      <c r="V87" s="155"/>
      <c r="W87" s="140"/>
    </row>
    <row r="88" spans="1:23" ht="15.75" customHeight="1">
      <c r="A88" s="148"/>
      <c r="B88" s="148"/>
      <c r="C88" s="158" t="e">
        <f>VLOOKUP(B88,MAESTRO!$D$4:$E$10,2,FALSE)</f>
        <v>#N/A</v>
      </c>
      <c r="D88" s="145" t="e">
        <f t="shared" si="7"/>
        <v>#N/A</v>
      </c>
      <c r="E88" s="160"/>
      <c r="F88" s="140"/>
      <c r="G88" s="141" t="e">
        <f>VLOOKUP(F88,MAESTRO!$G$4:$H$14,2,FALSE)</f>
        <v>#N/A</v>
      </c>
      <c r="H88" s="140"/>
      <c r="I88" s="140"/>
      <c r="J88" s="143"/>
      <c r="K88" s="163"/>
      <c r="L88" s="145">
        <f t="shared" ca="1" si="5"/>
        <v>126</v>
      </c>
      <c r="M88" s="166"/>
      <c r="N88" s="144"/>
      <c r="O88" s="145">
        <f t="shared" si="6"/>
        <v>0</v>
      </c>
      <c r="P88" s="168" t="e">
        <f>IF(N88="PRIMERA",
   VLOOKUP(O88,MAESTRO!M:O,2,FALSE),
   VLOOKUP(O88,MAESTRO!M:O,3,FALSE)
)</f>
        <v>#N/A</v>
      </c>
      <c r="Q88" s="148"/>
      <c r="R88" s="148" t="e">
        <f>VLOOKUP(Q88,MAESTRO!$P$5:$Q$8,2,FALSE)</f>
        <v>#N/A</v>
      </c>
      <c r="S88" s="149" t="str">
        <f t="shared" si="1"/>
        <v>NO ES TITULAR</v>
      </c>
      <c r="T88" s="154" t="str">
        <f t="shared" si="2"/>
        <v>NO ES TITULAR</v>
      </c>
      <c r="U88" s="157"/>
      <c r="V88" s="155"/>
      <c r="W88" s="140"/>
    </row>
    <row r="89" spans="1:23" ht="15.75" customHeight="1">
      <c r="A89" s="148"/>
      <c r="B89" s="148"/>
      <c r="C89" s="158" t="e">
        <f>VLOOKUP(B89,MAESTRO!$D$4:$E$10,2,FALSE)</f>
        <v>#N/A</v>
      </c>
      <c r="D89" s="145" t="e">
        <f t="shared" si="7"/>
        <v>#N/A</v>
      </c>
      <c r="E89" s="160"/>
      <c r="F89" s="140"/>
      <c r="G89" s="141" t="e">
        <f>VLOOKUP(F89,MAESTRO!$G$4:$H$14,2,FALSE)</f>
        <v>#N/A</v>
      </c>
      <c r="H89" s="140"/>
      <c r="I89" s="140"/>
      <c r="J89" s="143"/>
      <c r="K89" s="163"/>
      <c r="L89" s="145">
        <f t="shared" ca="1" si="5"/>
        <v>126</v>
      </c>
      <c r="M89" s="166"/>
      <c r="N89" s="144"/>
      <c r="O89" s="145">
        <f t="shared" si="6"/>
        <v>0</v>
      </c>
      <c r="P89" s="168" t="e">
        <f>IF(N89="PRIMERA",
   VLOOKUP(O89,MAESTRO!M:O,2,FALSE),
   VLOOKUP(O89,MAESTRO!M:O,3,FALSE)
)</f>
        <v>#N/A</v>
      </c>
      <c r="Q89" s="148"/>
      <c r="R89" s="148" t="e">
        <f>VLOOKUP(Q89,MAESTRO!$P$5:$Q$8,2,FALSE)</f>
        <v>#N/A</v>
      </c>
      <c r="S89" s="149" t="str">
        <f t="shared" si="1"/>
        <v>NO ES TITULAR</v>
      </c>
      <c r="T89" s="154" t="str">
        <f t="shared" si="2"/>
        <v>NO ES TITULAR</v>
      </c>
      <c r="U89" s="157"/>
      <c r="V89" s="155"/>
      <c r="W89" s="140"/>
    </row>
    <row r="90" spans="1:23" ht="15.75" customHeight="1">
      <c r="A90" s="148"/>
      <c r="B90" s="148"/>
      <c r="C90" s="158" t="e">
        <f>VLOOKUP(B90,MAESTRO!$D$4:$E$10,2,FALSE)</f>
        <v>#N/A</v>
      </c>
      <c r="D90" s="145" t="e">
        <f t="shared" si="7"/>
        <v>#N/A</v>
      </c>
      <c r="E90" s="160"/>
      <c r="F90" s="140"/>
      <c r="G90" s="141" t="e">
        <f>VLOOKUP(F90,MAESTRO!$G$4:$H$14,2,FALSE)</f>
        <v>#N/A</v>
      </c>
      <c r="H90" s="140"/>
      <c r="I90" s="140"/>
      <c r="J90" s="143"/>
      <c r="K90" s="163"/>
      <c r="L90" s="145">
        <f t="shared" ca="1" si="5"/>
        <v>126</v>
      </c>
      <c r="M90" s="166"/>
      <c r="N90" s="144"/>
      <c r="O90" s="145">
        <f t="shared" si="6"/>
        <v>0</v>
      </c>
      <c r="P90" s="168" t="e">
        <f>IF(N90="PRIMERA",
   VLOOKUP(O90,MAESTRO!M:O,2,FALSE),
   VLOOKUP(O90,MAESTRO!M:O,3,FALSE)
)</f>
        <v>#N/A</v>
      </c>
      <c r="Q90" s="148"/>
      <c r="R90" s="148" t="e">
        <f>VLOOKUP(Q90,MAESTRO!$P$5:$Q$8,2,FALSE)</f>
        <v>#N/A</v>
      </c>
      <c r="S90" s="149" t="str">
        <f t="shared" si="1"/>
        <v>NO ES TITULAR</v>
      </c>
      <c r="T90" s="154" t="str">
        <f t="shared" si="2"/>
        <v>NO ES TITULAR</v>
      </c>
      <c r="U90" s="157"/>
      <c r="V90" s="155"/>
      <c r="W90" s="140"/>
    </row>
    <row r="91" spans="1:23" ht="15.75" customHeight="1">
      <c r="A91" s="148"/>
      <c r="B91" s="148"/>
      <c r="C91" s="158" t="e">
        <f>VLOOKUP(B91,MAESTRO!$D$4:$E$10,2,FALSE)</f>
        <v>#N/A</v>
      </c>
      <c r="D91" s="145" t="e">
        <f t="shared" si="7"/>
        <v>#N/A</v>
      </c>
      <c r="E91" s="160"/>
      <c r="F91" s="140"/>
      <c r="G91" s="141" t="e">
        <f>VLOOKUP(F91,MAESTRO!$G$4:$H$14,2,FALSE)</f>
        <v>#N/A</v>
      </c>
      <c r="H91" s="140"/>
      <c r="I91" s="140"/>
      <c r="J91" s="143"/>
      <c r="K91" s="163"/>
      <c r="L91" s="145">
        <f t="shared" ca="1" si="5"/>
        <v>126</v>
      </c>
      <c r="M91" s="166"/>
      <c r="N91" s="144"/>
      <c r="O91" s="145">
        <f t="shared" si="6"/>
        <v>0</v>
      </c>
      <c r="P91" s="168" t="e">
        <f>IF(N91="PRIMERA",
   VLOOKUP(O91,MAESTRO!M:O,2,FALSE),
   VLOOKUP(O91,MAESTRO!M:O,3,FALSE)
)</f>
        <v>#N/A</v>
      </c>
      <c r="Q91" s="148"/>
      <c r="R91" s="148" t="e">
        <f>VLOOKUP(Q91,MAESTRO!$P$5:$Q$8,2,FALSE)</f>
        <v>#N/A</v>
      </c>
      <c r="S91" s="149" t="str">
        <f t="shared" si="1"/>
        <v>NO ES TITULAR</v>
      </c>
      <c r="T91" s="154" t="str">
        <f t="shared" si="2"/>
        <v>NO ES TITULAR</v>
      </c>
      <c r="U91" s="157"/>
      <c r="V91" s="155"/>
      <c r="W91" s="140"/>
    </row>
    <row r="92" spans="1:23" ht="15.75" customHeight="1">
      <c r="A92" s="148"/>
      <c r="B92" s="148"/>
      <c r="C92" s="158" t="e">
        <f>VLOOKUP(B92,MAESTRO!$D$4:$E$10,2,FALSE)</f>
        <v>#N/A</v>
      </c>
      <c r="D92" s="145" t="e">
        <f t="shared" si="7"/>
        <v>#N/A</v>
      </c>
      <c r="E92" s="160"/>
      <c r="F92" s="140"/>
      <c r="G92" s="141" t="e">
        <f>VLOOKUP(F92,MAESTRO!$G$4:$H$14,2,FALSE)</f>
        <v>#N/A</v>
      </c>
      <c r="H92" s="140"/>
      <c r="I92" s="140"/>
      <c r="J92" s="143"/>
      <c r="K92" s="163"/>
      <c r="L92" s="145">
        <f t="shared" ca="1" si="5"/>
        <v>126</v>
      </c>
      <c r="M92" s="166"/>
      <c r="N92" s="144"/>
      <c r="O92" s="145">
        <f t="shared" si="6"/>
        <v>0</v>
      </c>
      <c r="P92" s="168" t="e">
        <f>IF(N92="PRIMERA",
   VLOOKUP(O92,MAESTRO!M:O,2,FALSE),
   VLOOKUP(O92,MAESTRO!M:O,3,FALSE)
)</f>
        <v>#N/A</v>
      </c>
      <c r="Q92" s="148"/>
      <c r="R92" s="148" t="e">
        <f>VLOOKUP(Q92,MAESTRO!$P$5:$Q$8,2,FALSE)</f>
        <v>#N/A</v>
      </c>
      <c r="S92" s="149" t="str">
        <f t="shared" si="1"/>
        <v>NO ES TITULAR</v>
      </c>
      <c r="T92" s="154" t="str">
        <f t="shared" si="2"/>
        <v>NO ES TITULAR</v>
      </c>
      <c r="U92" s="157"/>
      <c r="V92" s="155"/>
      <c r="W92" s="140"/>
    </row>
    <row r="93" spans="1:23" ht="15.75" customHeight="1">
      <c r="A93" s="148"/>
      <c r="B93" s="148"/>
      <c r="C93" s="158" t="e">
        <f>VLOOKUP(B93,MAESTRO!$D$4:$E$10,2,FALSE)</f>
        <v>#N/A</v>
      </c>
      <c r="D93" s="145" t="e">
        <f t="shared" si="7"/>
        <v>#N/A</v>
      </c>
      <c r="E93" s="160"/>
      <c r="F93" s="140"/>
      <c r="G93" s="141" t="e">
        <f>VLOOKUP(F93,MAESTRO!$G$4:$H$14,2,FALSE)</f>
        <v>#N/A</v>
      </c>
      <c r="H93" s="140"/>
      <c r="I93" s="140"/>
      <c r="J93" s="143"/>
      <c r="K93" s="163"/>
      <c r="L93" s="145">
        <f t="shared" ca="1" si="5"/>
        <v>126</v>
      </c>
      <c r="M93" s="166"/>
      <c r="N93" s="144"/>
      <c r="O93" s="145">
        <f t="shared" si="6"/>
        <v>0</v>
      </c>
      <c r="P93" s="168" t="e">
        <f>IF(N93="PRIMERA",
   VLOOKUP(O93,MAESTRO!M:O,2,FALSE),
   VLOOKUP(O93,MAESTRO!M:O,3,FALSE)
)</f>
        <v>#N/A</v>
      </c>
      <c r="Q93" s="148"/>
      <c r="R93" s="148" t="e">
        <f>VLOOKUP(Q93,MAESTRO!$P$5:$Q$8,2,FALSE)</f>
        <v>#N/A</v>
      </c>
      <c r="S93" s="149" t="str">
        <f t="shared" si="1"/>
        <v>NO ES TITULAR</v>
      </c>
      <c r="T93" s="154" t="str">
        <f t="shared" si="2"/>
        <v>NO ES TITULAR</v>
      </c>
      <c r="U93" s="157"/>
      <c r="V93" s="155"/>
      <c r="W93" s="140"/>
    </row>
    <row r="94" spans="1:23" ht="15.75" customHeight="1">
      <c r="A94" s="148"/>
      <c r="B94" s="148"/>
      <c r="C94" s="158" t="e">
        <f>VLOOKUP(B94,MAESTRO!$D$4:$E$10,2,FALSE)</f>
        <v>#N/A</v>
      </c>
      <c r="D94" s="145" t="e">
        <f t="shared" si="7"/>
        <v>#N/A</v>
      </c>
      <c r="E94" s="160"/>
      <c r="F94" s="140"/>
      <c r="G94" s="141" t="e">
        <f>VLOOKUP(F94,MAESTRO!$G$4:$H$14,2,FALSE)</f>
        <v>#N/A</v>
      </c>
      <c r="H94" s="140"/>
      <c r="I94" s="140"/>
      <c r="J94" s="143"/>
      <c r="K94" s="163"/>
      <c r="L94" s="145">
        <f t="shared" ca="1" si="5"/>
        <v>126</v>
      </c>
      <c r="M94" s="166"/>
      <c r="N94" s="144"/>
      <c r="O94" s="145">
        <f t="shared" si="6"/>
        <v>0</v>
      </c>
      <c r="P94" s="168" t="e">
        <f>IF(N94="PRIMERA",
   VLOOKUP(O94,MAESTRO!M:O,2,FALSE),
   VLOOKUP(O94,MAESTRO!M:O,3,FALSE)
)</f>
        <v>#N/A</v>
      </c>
      <c r="Q94" s="148"/>
      <c r="R94" s="148" t="e">
        <f>VLOOKUP(Q94,MAESTRO!$P$5:$Q$8,2,FALSE)</f>
        <v>#N/A</v>
      </c>
      <c r="S94" s="149" t="str">
        <f t="shared" si="1"/>
        <v>NO ES TITULAR</v>
      </c>
      <c r="T94" s="154" t="str">
        <f t="shared" si="2"/>
        <v>NO ES TITULAR</v>
      </c>
      <c r="U94" s="157"/>
      <c r="V94" s="155"/>
      <c r="W94" s="140"/>
    </row>
    <row r="95" spans="1:23" ht="15.75" customHeight="1">
      <c r="A95" s="148"/>
      <c r="B95" s="148"/>
      <c r="C95" s="158" t="e">
        <f>VLOOKUP(B95,MAESTRO!$D$4:$E$10,2,FALSE)</f>
        <v>#N/A</v>
      </c>
      <c r="D95" s="145" t="e">
        <f t="shared" si="7"/>
        <v>#N/A</v>
      </c>
      <c r="E95" s="160"/>
      <c r="F95" s="140"/>
      <c r="G95" s="141" t="e">
        <f>VLOOKUP(F95,MAESTRO!$G$4:$H$14,2,FALSE)</f>
        <v>#N/A</v>
      </c>
      <c r="H95" s="140"/>
      <c r="I95" s="140"/>
      <c r="J95" s="143"/>
      <c r="K95" s="163"/>
      <c r="L95" s="145">
        <f t="shared" ca="1" si="5"/>
        <v>126</v>
      </c>
      <c r="M95" s="166"/>
      <c r="N95" s="144"/>
      <c r="O95" s="145">
        <f t="shared" si="6"/>
        <v>0</v>
      </c>
      <c r="P95" s="168" t="e">
        <f>IF(N95="PRIMERA",
   VLOOKUP(O95,MAESTRO!M:O,2,FALSE),
   VLOOKUP(O95,MAESTRO!M:O,3,FALSE)
)</f>
        <v>#N/A</v>
      </c>
      <c r="Q95" s="148"/>
      <c r="R95" s="148" t="e">
        <f>VLOOKUP(Q95,MAESTRO!$P$5:$Q$8,2,FALSE)</f>
        <v>#N/A</v>
      </c>
      <c r="S95" s="149" t="str">
        <f t="shared" si="1"/>
        <v>NO ES TITULAR</v>
      </c>
      <c r="T95" s="154" t="str">
        <f t="shared" si="2"/>
        <v>NO ES TITULAR</v>
      </c>
      <c r="U95" s="157"/>
      <c r="V95" s="155"/>
      <c r="W95" s="140"/>
    </row>
    <row r="96" spans="1:23" ht="15.75" customHeight="1">
      <c r="A96" s="148"/>
      <c r="B96" s="148"/>
      <c r="C96" s="158" t="e">
        <f>VLOOKUP(B96,MAESTRO!$D$4:$E$10,2,FALSE)</f>
        <v>#N/A</v>
      </c>
      <c r="D96" s="145" t="e">
        <f t="shared" si="7"/>
        <v>#N/A</v>
      </c>
      <c r="E96" s="160"/>
      <c r="F96" s="140"/>
      <c r="G96" s="141" t="e">
        <f>VLOOKUP(F96,MAESTRO!$G$4:$H$14,2,FALSE)</f>
        <v>#N/A</v>
      </c>
      <c r="H96" s="140"/>
      <c r="I96" s="140"/>
      <c r="J96" s="143"/>
      <c r="K96" s="163"/>
      <c r="L96" s="145">
        <f t="shared" ca="1" si="5"/>
        <v>126</v>
      </c>
      <c r="M96" s="166"/>
      <c r="N96" s="144"/>
      <c r="O96" s="145">
        <f t="shared" si="6"/>
        <v>0</v>
      </c>
      <c r="P96" s="168" t="e">
        <f>IF(N96="PRIMERA",
   VLOOKUP(O96,MAESTRO!M:O,2,FALSE),
   VLOOKUP(O96,MAESTRO!M:O,3,FALSE)
)</f>
        <v>#N/A</v>
      </c>
      <c r="Q96" s="148"/>
      <c r="R96" s="148" t="e">
        <f>VLOOKUP(Q96,MAESTRO!$P$5:$Q$8,2,FALSE)</f>
        <v>#N/A</v>
      </c>
      <c r="S96" s="149" t="str">
        <f t="shared" si="1"/>
        <v>NO ES TITULAR</v>
      </c>
      <c r="T96" s="154" t="str">
        <f t="shared" si="2"/>
        <v>NO ES TITULAR</v>
      </c>
      <c r="U96" s="157"/>
      <c r="V96" s="155"/>
      <c r="W96" s="140"/>
    </row>
    <row r="97" spans="1:23" ht="15.75" customHeight="1">
      <c r="A97" s="148"/>
      <c r="B97" s="148"/>
      <c r="C97" s="158" t="e">
        <f>VLOOKUP(B97,MAESTRO!$D$4:$E$10,2,FALSE)</f>
        <v>#N/A</v>
      </c>
      <c r="D97" s="145" t="e">
        <f t="shared" si="7"/>
        <v>#N/A</v>
      </c>
      <c r="E97" s="160"/>
      <c r="F97" s="140"/>
      <c r="G97" s="141" t="e">
        <f>VLOOKUP(F97,MAESTRO!$G$4:$H$14,2,FALSE)</f>
        <v>#N/A</v>
      </c>
      <c r="H97" s="140"/>
      <c r="I97" s="140"/>
      <c r="J97" s="143"/>
      <c r="K97" s="163"/>
      <c r="L97" s="145">
        <f t="shared" ca="1" si="5"/>
        <v>126</v>
      </c>
      <c r="M97" s="166"/>
      <c r="N97" s="144"/>
      <c r="O97" s="145">
        <f t="shared" si="6"/>
        <v>0</v>
      </c>
      <c r="P97" s="168" t="e">
        <f>IF(N97="PRIMERA",
   VLOOKUP(O97,MAESTRO!M:O,2,FALSE),
   VLOOKUP(O97,MAESTRO!M:O,3,FALSE)
)</f>
        <v>#N/A</v>
      </c>
      <c r="Q97" s="148"/>
      <c r="R97" s="148" t="e">
        <f>VLOOKUP(Q97,MAESTRO!$P$5:$Q$8,2,FALSE)</f>
        <v>#N/A</v>
      </c>
      <c r="S97" s="149" t="str">
        <f t="shared" si="1"/>
        <v>NO ES TITULAR</v>
      </c>
      <c r="T97" s="154" t="str">
        <f t="shared" si="2"/>
        <v>NO ES TITULAR</v>
      </c>
      <c r="U97" s="157"/>
      <c r="V97" s="155"/>
      <c r="W97" s="140"/>
    </row>
    <row r="98" spans="1:23" ht="15.75" customHeight="1">
      <c r="A98" s="148"/>
      <c r="B98" s="148"/>
      <c r="C98" s="158" t="e">
        <f>VLOOKUP(B98,MAESTRO!$D$4:$E$10,2,FALSE)</f>
        <v>#N/A</v>
      </c>
      <c r="D98" s="145" t="e">
        <f t="shared" si="7"/>
        <v>#N/A</v>
      </c>
      <c r="E98" s="160"/>
      <c r="F98" s="140"/>
      <c r="G98" s="141" t="e">
        <f>VLOOKUP(F98,MAESTRO!$G$4:$H$14,2,FALSE)</f>
        <v>#N/A</v>
      </c>
      <c r="H98" s="140"/>
      <c r="I98" s="140"/>
      <c r="J98" s="143"/>
      <c r="K98" s="163"/>
      <c r="L98" s="145">
        <f t="shared" ca="1" si="5"/>
        <v>126</v>
      </c>
      <c r="M98" s="166"/>
      <c r="N98" s="144"/>
      <c r="O98" s="145">
        <f t="shared" si="6"/>
        <v>0</v>
      </c>
      <c r="P98" s="168" t="e">
        <f>IF(N98="PRIMERA",
   VLOOKUP(O98,MAESTRO!M:O,2,FALSE),
   VLOOKUP(O98,MAESTRO!M:O,3,FALSE)
)</f>
        <v>#N/A</v>
      </c>
      <c r="Q98" s="148"/>
      <c r="R98" s="148" t="e">
        <f>VLOOKUP(Q98,MAESTRO!$P$5:$Q$8,2,FALSE)</f>
        <v>#N/A</v>
      </c>
      <c r="S98" s="149" t="str">
        <f t="shared" si="1"/>
        <v>NO ES TITULAR</v>
      </c>
      <c r="T98" s="154" t="str">
        <f t="shared" si="2"/>
        <v>NO ES TITULAR</v>
      </c>
      <c r="U98" s="157"/>
      <c r="V98" s="155"/>
      <c r="W98" s="140"/>
    </row>
    <row r="99" spans="1:23" ht="15.75" customHeight="1">
      <c r="A99" s="148"/>
      <c r="B99" s="148"/>
      <c r="C99" s="158" t="e">
        <f>VLOOKUP(B99,MAESTRO!$D$4:$E$10,2,FALSE)</f>
        <v>#N/A</v>
      </c>
      <c r="D99" s="145" t="e">
        <f t="shared" si="7"/>
        <v>#N/A</v>
      </c>
      <c r="E99" s="160"/>
      <c r="F99" s="140"/>
      <c r="G99" s="141" t="e">
        <f>VLOOKUP(F99,MAESTRO!$G$4:$H$14,2,FALSE)</f>
        <v>#N/A</v>
      </c>
      <c r="H99" s="140"/>
      <c r="I99" s="140"/>
      <c r="J99" s="143"/>
      <c r="K99" s="163"/>
      <c r="L99" s="145">
        <f t="shared" ca="1" si="5"/>
        <v>126</v>
      </c>
      <c r="M99" s="166"/>
      <c r="N99" s="144"/>
      <c r="O99" s="145">
        <f t="shared" si="6"/>
        <v>0</v>
      </c>
      <c r="P99" s="168" t="e">
        <f>IF(N99="PRIMERA",
   VLOOKUP(O99,MAESTRO!M:O,2,FALSE),
   VLOOKUP(O99,MAESTRO!M:O,3,FALSE)
)</f>
        <v>#N/A</v>
      </c>
      <c r="Q99" s="148"/>
      <c r="R99" s="148" t="e">
        <f>VLOOKUP(Q99,MAESTRO!$P$5:$Q$8,2,FALSE)</f>
        <v>#N/A</v>
      </c>
      <c r="S99" s="149" t="str">
        <f t="shared" si="1"/>
        <v>NO ES TITULAR</v>
      </c>
      <c r="T99" s="154" t="str">
        <f t="shared" si="2"/>
        <v>NO ES TITULAR</v>
      </c>
      <c r="U99" s="157"/>
      <c r="V99" s="155"/>
      <c r="W99" s="140"/>
    </row>
    <row r="100" spans="1:23" ht="15.75" customHeight="1">
      <c r="A100" s="148"/>
      <c r="B100" s="148"/>
      <c r="C100" s="158" t="e">
        <f>VLOOKUP(B100,MAESTRO!$D$4:$E$10,2,FALSE)</f>
        <v>#N/A</v>
      </c>
      <c r="D100" s="145" t="e">
        <f t="shared" si="7"/>
        <v>#N/A</v>
      </c>
      <c r="E100" s="160"/>
      <c r="F100" s="140"/>
      <c r="G100" s="141" t="e">
        <f>VLOOKUP(F100,MAESTRO!$G$4:$H$14,2,FALSE)</f>
        <v>#N/A</v>
      </c>
      <c r="H100" s="140"/>
      <c r="I100" s="140"/>
      <c r="J100" s="143"/>
      <c r="K100" s="163"/>
      <c r="L100" s="145">
        <f t="shared" ca="1" si="5"/>
        <v>126</v>
      </c>
      <c r="M100" s="166"/>
      <c r="N100" s="144"/>
      <c r="O100" s="145">
        <f t="shared" si="6"/>
        <v>0</v>
      </c>
      <c r="P100" s="168" t="e">
        <f>IF(N100="PRIMERA",
   VLOOKUP(O100,MAESTRO!M:O,2,FALSE),
   VLOOKUP(O100,MAESTRO!M:O,3,FALSE)
)</f>
        <v>#N/A</v>
      </c>
      <c r="Q100" s="148"/>
      <c r="R100" s="148" t="e">
        <f>VLOOKUP(Q100,MAESTRO!$P$5:$Q$8,2,FALSE)</f>
        <v>#N/A</v>
      </c>
      <c r="S100" s="149" t="str">
        <f t="shared" si="1"/>
        <v>NO ES TITULAR</v>
      </c>
      <c r="T100" s="154" t="str">
        <f t="shared" si="2"/>
        <v>NO ES TITULAR</v>
      </c>
      <c r="U100" s="157"/>
      <c r="V100" s="155"/>
      <c r="W100" s="140"/>
    </row>
    <row r="101" spans="1:23" ht="15.75" customHeight="1">
      <c r="A101" s="148"/>
      <c r="B101" s="148"/>
      <c r="C101" s="158" t="e">
        <f>VLOOKUP(B101,MAESTRO!$D$4:$E$10,2,FALSE)</f>
        <v>#N/A</v>
      </c>
      <c r="D101" s="145" t="e">
        <f t="shared" si="7"/>
        <v>#N/A</v>
      </c>
      <c r="E101" s="160"/>
      <c r="F101" s="140"/>
      <c r="G101" s="141" t="e">
        <f>VLOOKUP(F101,MAESTRO!$G$4:$H$14,2,FALSE)</f>
        <v>#N/A</v>
      </c>
      <c r="H101" s="140"/>
      <c r="I101" s="140"/>
      <c r="J101" s="143"/>
      <c r="K101" s="163"/>
      <c r="L101" s="145">
        <f t="shared" ca="1" si="5"/>
        <v>126</v>
      </c>
      <c r="M101" s="166"/>
      <c r="N101" s="144"/>
      <c r="O101" s="145">
        <f t="shared" si="6"/>
        <v>0</v>
      </c>
      <c r="P101" s="168" t="e">
        <f>IF(N101="PRIMERA",
   VLOOKUP(O101,MAESTRO!M:O,2,FALSE),
   VLOOKUP(O101,MAESTRO!M:O,3,FALSE)
)</f>
        <v>#N/A</v>
      </c>
      <c r="Q101" s="148"/>
      <c r="R101" s="148" t="e">
        <f>VLOOKUP(Q101,MAESTRO!$P$5:$Q$8,2,FALSE)</f>
        <v>#N/A</v>
      </c>
      <c r="S101" s="149" t="str">
        <f t="shared" si="1"/>
        <v>NO ES TITULAR</v>
      </c>
      <c r="T101" s="154" t="str">
        <f t="shared" si="2"/>
        <v>NO ES TITULAR</v>
      </c>
      <c r="U101" s="157"/>
      <c r="V101" s="155"/>
      <c r="W101" s="140"/>
    </row>
    <row r="102" spans="1:23" ht="15.75" customHeight="1">
      <c r="A102" s="148"/>
      <c r="B102" s="148"/>
      <c r="C102" s="158" t="e">
        <f>VLOOKUP(B102,MAESTRO!$D$4:$E$10,2,FALSE)</f>
        <v>#N/A</v>
      </c>
      <c r="D102" s="145" t="e">
        <f t="shared" si="7"/>
        <v>#N/A</v>
      </c>
      <c r="E102" s="160"/>
      <c r="F102" s="140"/>
      <c r="G102" s="141" t="e">
        <f>VLOOKUP(F102,MAESTRO!$G$4:$H$14,2,FALSE)</f>
        <v>#N/A</v>
      </c>
      <c r="H102" s="140"/>
      <c r="I102" s="140"/>
      <c r="J102" s="143"/>
      <c r="K102" s="163"/>
      <c r="L102" s="145">
        <f t="shared" ca="1" si="5"/>
        <v>126</v>
      </c>
      <c r="M102" s="166"/>
      <c r="N102" s="144"/>
      <c r="O102" s="145">
        <f t="shared" si="6"/>
        <v>0</v>
      </c>
      <c r="P102" s="168" t="e">
        <f>IF(N102="PRIMERA",
   VLOOKUP(O102,MAESTRO!M:O,2,FALSE),
   VLOOKUP(O102,MAESTRO!M:O,3,FALSE)
)</f>
        <v>#N/A</v>
      </c>
      <c r="Q102" s="148"/>
      <c r="R102" s="148" t="e">
        <f>VLOOKUP(Q102,MAESTRO!$P$5:$Q$8,2,FALSE)</f>
        <v>#N/A</v>
      </c>
      <c r="S102" s="149" t="str">
        <f t="shared" si="1"/>
        <v>NO ES TITULAR</v>
      </c>
      <c r="T102" s="154" t="str">
        <f t="shared" si="2"/>
        <v>NO ES TITULAR</v>
      </c>
      <c r="U102" s="157"/>
      <c r="V102" s="155"/>
      <c r="W102" s="140"/>
    </row>
    <row r="103" spans="1:23" ht="15.75" customHeight="1">
      <c r="A103" s="148"/>
      <c r="B103" s="148"/>
      <c r="C103" s="158" t="e">
        <f>VLOOKUP(B103,MAESTRO!$D$4:$E$10,2,FALSE)</f>
        <v>#N/A</v>
      </c>
      <c r="D103" s="145" t="e">
        <f t="shared" si="7"/>
        <v>#N/A</v>
      </c>
      <c r="E103" s="160"/>
      <c r="F103" s="140"/>
      <c r="G103" s="141" t="e">
        <f>VLOOKUP(F103,MAESTRO!$G$4:$H$14,2,FALSE)</f>
        <v>#N/A</v>
      </c>
      <c r="H103" s="140"/>
      <c r="I103" s="140"/>
      <c r="J103" s="143"/>
      <c r="K103" s="163"/>
      <c r="L103" s="145">
        <f t="shared" ca="1" si="5"/>
        <v>126</v>
      </c>
      <c r="M103" s="166"/>
      <c r="N103" s="144"/>
      <c r="O103" s="145">
        <f t="shared" si="6"/>
        <v>0</v>
      </c>
      <c r="P103" s="168" t="e">
        <f>IF(N103="PRIMERA",
   VLOOKUP(O103,MAESTRO!M:O,2,FALSE),
   VLOOKUP(O103,MAESTRO!M:O,3,FALSE)
)</f>
        <v>#N/A</v>
      </c>
      <c r="Q103" s="148"/>
      <c r="R103" s="148" t="e">
        <f>VLOOKUP(Q103,MAESTRO!$P$5:$Q$8,2,FALSE)</f>
        <v>#N/A</v>
      </c>
      <c r="S103" s="149" t="str">
        <f t="shared" si="1"/>
        <v>NO ES TITULAR</v>
      </c>
      <c r="T103" s="154" t="str">
        <f t="shared" si="2"/>
        <v>NO ES TITULAR</v>
      </c>
      <c r="U103" s="157"/>
      <c r="V103" s="155"/>
      <c r="W103" s="140"/>
    </row>
    <row r="104" spans="1:23" ht="15.75" customHeight="1">
      <c r="A104" s="148"/>
      <c r="B104" s="148"/>
      <c r="C104" s="158" t="e">
        <f>VLOOKUP(B104,MAESTRO!$D$4:$E$10,2,FALSE)</f>
        <v>#N/A</v>
      </c>
      <c r="D104" s="145" t="e">
        <f t="shared" si="7"/>
        <v>#N/A</v>
      </c>
      <c r="E104" s="160"/>
      <c r="F104" s="140"/>
      <c r="G104" s="141" t="e">
        <f>VLOOKUP(F104,MAESTRO!$G$4:$H$14,2,FALSE)</f>
        <v>#N/A</v>
      </c>
      <c r="H104" s="140"/>
      <c r="I104" s="140"/>
      <c r="J104" s="143"/>
      <c r="K104" s="163"/>
      <c r="L104" s="145">
        <f t="shared" ca="1" si="5"/>
        <v>126</v>
      </c>
      <c r="M104" s="166"/>
      <c r="N104" s="144"/>
      <c r="O104" s="145">
        <f t="shared" si="6"/>
        <v>0</v>
      </c>
      <c r="P104" s="168" t="e">
        <f>IF(N104="PRIMERA",
   VLOOKUP(O104,MAESTRO!M:O,2,FALSE),
   VLOOKUP(O104,MAESTRO!M:O,3,FALSE)
)</f>
        <v>#N/A</v>
      </c>
      <c r="Q104" s="148"/>
      <c r="R104" s="148" t="e">
        <f>VLOOKUP(Q104,MAESTRO!$P$5:$Q$8,2,FALSE)</f>
        <v>#N/A</v>
      </c>
      <c r="S104" s="149" t="str">
        <f t="shared" si="1"/>
        <v>NO ES TITULAR</v>
      </c>
      <c r="T104" s="154" t="str">
        <f t="shared" si="2"/>
        <v>NO ES TITULAR</v>
      </c>
      <c r="U104" s="157"/>
      <c r="V104" s="155"/>
      <c r="W104" s="140"/>
    </row>
    <row r="105" spans="1:23" ht="15.75" customHeight="1">
      <c r="A105" s="148"/>
      <c r="B105" s="148"/>
      <c r="C105" s="158" t="e">
        <f>VLOOKUP(B105,MAESTRO!$D$4:$E$10,2,FALSE)</f>
        <v>#N/A</v>
      </c>
      <c r="D105" s="145" t="e">
        <f t="shared" si="7"/>
        <v>#N/A</v>
      </c>
      <c r="E105" s="160"/>
      <c r="F105" s="140"/>
      <c r="G105" s="141" t="e">
        <f>VLOOKUP(F105,MAESTRO!$G$4:$H$14,2,FALSE)</f>
        <v>#N/A</v>
      </c>
      <c r="H105" s="140"/>
      <c r="I105" s="140"/>
      <c r="J105" s="143"/>
      <c r="K105" s="163"/>
      <c r="L105" s="145">
        <f t="shared" ca="1" si="5"/>
        <v>126</v>
      </c>
      <c r="M105" s="166"/>
      <c r="N105" s="144"/>
      <c r="O105" s="145">
        <f t="shared" si="6"/>
        <v>0</v>
      </c>
      <c r="P105" s="168" t="e">
        <f>IF(N105="PRIMERA",
   VLOOKUP(O105,MAESTRO!M:O,2,FALSE),
   VLOOKUP(O105,MAESTRO!M:O,3,FALSE)
)</f>
        <v>#N/A</v>
      </c>
      <c r="Q105" s="148"/>
      <c r="R105" s="148" t="e">
        <f>VLOOKUP(Q105,MAESTRO!$P$5:$Q$8,2,FALSE)</f>
        <v>#N/A</v>
      </c>
      <c r="S105" s="149" t="str">
        <f t="shared" si="1"/>
        <v>NO ES TITULAR</v>
      </c>
      <c r="T105" s="154" t="str">
        <f t="shared" si="2"/>
        <v>NO ES TITULAR</v>
      </c>
      <c r="U105" s="157"/>
      <c r="V105" s="155"/>
      <c r="W105" s="140"/>
    </row>
    <row r="106" spans="1:23" ht="15.75" customHeight="1">
      <c r="A106" s="148"/>
      <c r="B106" s="148"/>
      <c r="C106" s="158" t="e">
        <f>VLOOKUP(B106,MAESTRO!$D$4:$E$10,2,FALSE)</f>
        <v>#N/A</v>
      </c>
      <c r="D106" s="145" t="e">
        <f t="shared" si="7"/>
        <v>#N/A</v>
      </c>
      <c r="E106" s="160"/>
      <c r="F106" s="140"/>
      <c r="G106" s="141" t="e">
        <f>VLOOKUP(F106,MAESTRO!$G$4:$H$14,2,FALSE)</f>
        <v>#N/A</v>
      </c>
      <c r="H106" s="140"/>
      <c r="I106" s="140"/>
      <c r="J106" s="143"/>
      <c r="K106" s="163"/>
      <c r="L106" s="145">
        <f t="shared" ca="1" si="5"/>
        <v>126</v>
      </c>
      <c r="M106" s="166"/>
      <c r="N106" s="144"/>
      <c r="O106" s="145">
        <f t="shared" si="6"/>
        <v>0</v>
      </c>
      <c r="P106" s="168" t="e">
        <f>IF(N106="PRIMERA",
   VLOOKUP(O106,MAESTRO!M:O,2,FALSE),
   VLOOKUP(O106,MAESTRO!M:O,3,FALSE)
)</f>
        <v>#N/A</v>
      </c>
      <c r="Q106" s="148"/>
      <c r="R106" s="148" t="e">
        <f>VLOOKUP(Q106,MAESTRO!$P$5:$Q$8,2,FALSE)</f>
        <v>#N/A</v>
      </c>
      <c r="S106" s="149" t="str">
        <f t="shared" si="1"/>
        <v>NO ES TITULAR</v>
      </c>
      <c r="T106" s="154" t="str">
        <f t="shared" si="2"/>
        <v>NO ES TITULAR</v>
      </c>
      <c r="U106" s="157"/>
      <c r="V106" s="155"/>
      <c r="W106" s="140"/>
    </row>
    <row r="107" spans="1:23" ht="15.75" customHeight="1">
      <c r="A107" s="148"/>
      <c r="B107" s="148"/>
      <c r="C107" s="158" t="e">
        <f>VLOOKUP(B107,MAESTRO!$D$4:$E$10,2,FALSE)</f>
        <v>#N/A</v>
      </c>
      <c r="D107" s="145" t="e">
        <f t="shared" si="7"/>
        <v>#N/A</v>
      </c>
      <c r="E107" s="160"/>
      <c r="F107" s="140"/>
      <c r="G107" s="141" t="e">
        <f>VLOOKUP(F107,MAESTRO!$G$4:$H$14,2,FALSE)</f>
        <v>#N/A</v>
      </c>
      <c r="H107" s="140"/>
      <c r="I107" s="140"/>
      <c r="J107" s="143"/>
      <c r="K107" s="163"/>
      <c r="L107" s="145">
        <f t="shared" ca="1" si="5"/>
        <v>126</v>
      </c>
      <c r="M107" s="166"/>
      <c r="N107" s="144"/>
      <c r="O107" s="145">
        <f t="shared" si="6"/>
        <v>0</v>
      </c>
      <c r="P107" s="168" t="e">
        <f>IF(N107="PRIMERA",
   VLOOKUP(O107,MAESTRO!M:O,2,FALSE),
   VLOOKUP(O107,MAESTRO!M:O,3,FALSE)
)</f>
        <v>#N/A</v>
      </c>
      <c r="Q107" s="148"/>
      <c r="R107" s="148" t="e">
        <f>VLOOKUP(Q107,MAESTRO!$P$5:$Q$8,2,FALSE)</f>
        <v>#N/A</v>
      </c>
      <c r="S107" s="149" t="str">
        <f t="shared" si="1"/>
        <v>NO ES TITULAR</v>
      </c>
      <c r="T107" s="154" t="str">
        <f t="shared" si="2"/>
        <v>NO ES TITULAR</v>
      </c>
      <c r="U107" s="157"/>
      <c r="V107" s="155"/>
      <c r="W107" s="140"/>
    </row>
    <row r="108" spans="1:23" ht="15.75" customHeight="1">
      <c r="A108" s="148"/>
      <c r="B108" s="148"/>
      <c r="C108" s="158" t="e">
        <f>VLOOKUP(B108,MAESTRO!$D$4:$E$10,2,FALSE)</f>
        <v>#N/A</v>
      </c>
      <c r="D108" s="145" t="e">
        <f t="shared" si="7"/>
        <v>#N/A</v>
      </c>
      <c r="E108" s="160"/>
      <c r="F108" s="140"/>
      <c r="G108" s="141" t="e">
        <f>VLOOKUP(F108,MAESTRO!$G$4:$H$14,2,FALSE)</f>
        <v>#N/A</v>
      </c>
      <c r="H108" s="140"/>
      <c r="I108" s="140"/>
      <c r="J108" s="143"/>
      <c r="K108" s="163"/>
      <c r="L108" s="145">
        <f t="shared" ca="1" si="5"/>
        <v>126</v>
      </c>
      <c r="M108" s="166"/>
      <c r="N108" s="144"/>
      <c r="O108" s="145">
        <f t="shared" si="6"/>
        <v>0</v>
      </c>
      <c r="P108" s="168" t="e">
        <f>IF(N108="PRIMERA",
   VLOOKUP(O108,MAESTRO!M:O,2,FALSE),
   VLOOKUP(O108,MAESTRO!M:O,3,FALSE)
)</f>
        <v>#N/A</v>
      </c>
      <c r="Q108" s="148"/>
      <c r="R108" s="148" t="e">
        <f>VLOOKUP(Q108,MAESTRO!$P$5:$Q$8,2,FALSE)</f>
        <v>#N/A</v>
      </c>
      <c r="S108" s="149" t="str">
        <f t="shared" si="1"/>
        <v>NO ES TITULAR</v>
      </c>
      <c r="T108" s="154" t="str">
        <f t="shared" si="2"/>
        <v>NO ES TITULAR</v>
      </c>
      <c r="U108" s="157"/>
      <c r="V108" s="155"/>
      <c r="W108" s="140"/>
    </row>
    <row r="109" spans="1:23" ht="15.75" customHeight="1">
      <c r="A109" s="148"/>
      <c r="B109" s="148"/>
      <c r="C109" s="158" t="e">
        <f>VLOOKUP(B109,MAESTRO!$D$4:$E$10,2,FALSE)</f>
        <v>#N/A</v>
      </c>
      <c r="D109" s="145" t="e">
        <f t="shared" si="7"/>
        <v>#N/A</v>
      </c>
      <c r="E109" s="160"/>
      <c r="F109" s="140"/>
      <c r="G109" s="141" t="e">
        <f>VLOOKUP(F109,MAESTRO!$G$4:$H$14,2,FALSE)</f>
        <v>#N/A</v>
      </c>
      <c r="H109" s="140"/>
      <c r="I109" s="140"/>
      <c r="J109" s="143"/>
      <c r="K109" s="163"/>
      <c r="L109" s="145">
        <f t="shared" ca="1" si="5"/>
        <v>126</v>
      </c>
      <c r="M109" s="166"/>
      <c r="N109" s="144"/>
      <c r="O109" s="145">
        <f t="shared" si="6"/>
        <v>0</v>
      </c>
      <c r="P109" s="168" t="e">
        <f>IF(N109="PRIMERA",
   VLOOKUP(O109,MAESTRO!M:O,2,FALSE),
   VLOOKUP(O109,MAESTRO!M:O,3,FALSE)
)</f>
        <v>#N/A</v>
      </c>
      <c r="Q109" s="148"/>
      <c r="R109" s="148" t="e">
        <f>VLOOKUP(Q109,MAESTRO!$P$5:$Q$8,2,FALSE)</f>
        <v>#N/A</v>
      </c>
      <c r="S109" s="149" t="str">
        <f t="shared" si="1"/>
        <v>NO ES TITULAR</v>
      </c>
      <c r="T109" s="154" t="str">
        <f t="shared" si="2"/>
        <v>NO ES TITULAR</v>
      </c>
      <c r="U109" s="157"/>
      <c r="V109" s="155"/>
      <c r="W109" s="140"/>
    </row>
    <row r="110" spans="1:23" ht="15.75" customHeight="1">
      <c r="A110" s="148"/>
      <c r="B110" s="148"/>
      <c r="C110" s="158" t="e">
        <f>VLOOKUP(B110,MAESTRO!$D$4:$E$10,2,FALSE)</f>
        <v>#N/A</v>
      </c>
      <c r="D110" s="145" t="e">
        <f t="shared" si="7"/>
        <v>#N/A</v>
      </c>
      <c r="E110" s="160"/>
      <c r="F110" s="140"/>
      <c r="G110" s="141" t="e">
        <f>VLOOKUP(F110,MAESTRO!$G$4:$H$14,2,FALSE)</f>
        <v>#N/A</v>
      </c>
      <c r="H110" s="140"/>
      <c r="I110" s="140"/>
      <c r="J110" s="143"/>
      <c r="K110" s="163"/>
      <c r="L110" s="145">
        <f t="shared" ca="1" si="5"/>
        <v>126</v>
      </c>
      <c r="M110" s="166"/>
      <c r="N110" s="144"/>
      <c r="O110" s="145">
        <f t="shared" si="6"/>
        <v>0</v>
      </c>
      <c r="P110" s="168" t="e">
        <f>IF(N110="PRIMERA",
   VLOOKUP(O110,MAESTRO!M:O,2,FALSE),
   VLOOKUP(O110,MAESTRO!M:O,3,FALSE)
)</f>
        <v>#N/A</v>
      </c>
      <c r="Q110" s="148"/>
      <c r="R110" s="148" t="e">
        <f>VLOOKUP(Q110,MAESTRO!$P$5:$Q$8,2,FALSE)</f>
        <v>#N/A</v>
      </c>
      <c r="S110" s="149" t="str">
        <f t="shared" si="1"/>
        <v>NO ES TITULAR</v>
      </c>
      <c r="T110" s="154" t="str">
        <f t="shared" si="2"/>
        <v>NO ES TITULAR</v>
      </c>
      <c r="U110" s="157"/>
      <c r="V110" s="155"/>
      <c r="W110" s="140"/>
    </row>
    <row r="111" spans="1:23" ht="15.75" customHeight="1">
      <c r="A111" s="148"/>
      <c r="B111" s="148"/>
      <c r="C111" s="158" t="e">
        <f>VLOOKUP(B111,MAESTRO!$D$4:$E$10,2,FALSE)</f>
        <v>#N/A</v>
      </c>
      <c r="D111" s="145" t="e">
        <f t="shared" si="7"/>
        <v>#N/A</v>
      </c>
      <c r="E111" s="160"/>
      <c r="F111" s="140"/>
      <c r="G111" s="141" t="e">
        <f>VLOOKUP(F111,MAESTRO!$G$4:$H$14,2,FALSE)</f>
        <v>#N/A</v>
      </c>
      <c r="H111" s="140"/>
      <c r="I111" s="140"/>
      <c r="J111" s="143"/>
      <c r="K111" s="163"/>
      <c r="L111" s="145">
        <f t="shared" ca="1" si="5"/>
        <v>126</v>
      </c>
      <c r="M111" s="166"/>
      <c r="N111" s="144"/>
      <c r="O111" s="145">
        <f t="shared" si="6"/>
        <v>0</v>
      </c>
      <c r="P111" s="168" t="e">
        <f>IF(N111="PRIMERA",
   VLOOKUP(O111,MAESTRO!M:O,2,FALSE),
   VLOOKUP(O111,MAESTRO!M:O,3,FALSE)
)</f>
        <v>#N/A</v>
      </c>
      <c r="Q111" s="148"/>
      <c r="R111" s="148" t="e">
        <f>VLOOKUP(Q111,MAESTRO!$P$5:$Q$8,2,FALSE)</f>
        <v>#N/A</v>
      </c>
      <c r="S111" s="149" t="str">
        <f t="shared" si="1"/>
        <v>NO ES TITULAR</v>
      </c>
      <c r="T111" s="154" t="str">
        <f t="shared" si="2"/>
        <v>NO ES TITULAR</v>
      </c>
      <c r="U111" s="157"/>
      <c r="V111" s="155"/>
      <c r="W111" s="140"/>
    </row>
    <row r="112" spans="1:23" ht="15.75" customHeight="1">
      <c r="A112" s="148"/>
      <c r="B112" s="148"/>
      <c r="C112" s="158" t="e">
        <f>VLOOKUP(B112,MAESTRO!$D$4:$E$10,2,FALSE)</f>
        <v>#N/A</v>
      </c>
      <c r="D112" s="145" t="e">
        <f t="shared" si="7"/>
        <v>#N/A</v>
      </c>
      <c r="E112" s="160"/>
      <c r="F112" s="140"/>
      <c r="G112" s="141" t="e">
        <f>VLOOKUP(F112,MAESTRO!$G$4:$H$14,2,FALSE)</f>
        <v>#N/A</v>
      </c>
      <c r="H112" s="140"/>
      <c r="I112" s="140"/>
      <c r="J112" s="143"/>
      <c r="K112" s="163"/>
      <c r="L112" s="145">
        <f t="shared" ca="1" si="5"/>
        <v>126</v>
      </c>
      <c r="M112" s="166"/>
      <c r="N112" s="144"/>
      <c r="O112" s="145">
        <f t="shared" si="6"/>
        <v>0</v>
      </c>
      <c r="P112" s="168" t="e">
        <f>IF(N112="PRIMERA",
   VLOOKUP(O112,MAESTRO!M:O,2,FALSE),
   VLOOKUP(O112,MAESTRO!M:O,3,FALSE)
)</f>
        <v>#N/A</v>
      </c>
      <c r="Q112" s="148"/>
      <c r="R112" s="148" t="e">
        <f>VLOOKUP(Q112,MAESTRO!$P$5:$Q$8,2,FALSE)</f>
        <v>#N/A</v>
      </c>
      <c r="S112" s="149" t="str">
        <f t="shared" si="1"/>
        <v>NO ES TITULAR</v>
      </c>
      <c r="T112" s="154" t="str">
        <f t="shared" si="2"/>
        <v>NO ES TITULAR</v>
      </c>
      <c r="U112" s="157"/>
      <c r="V112" s="155"/>
      <c r="W112" s="140"/>
    </row>
    <row r="113" spans="1:23" ht="15.75" customHeight="1">
      <c r="A113" s="148"/>
      <c r="B113" s="148"/>
      <c r="C113" s="158" t="e">
        <f>VLOOKUP(B113,MAESTRO!$D$4:$E$10,2,FALSE)</f>
        <v>#N/A</v>
      </c>
      <c r="D113" s="145" t="e">
        <f t="shared" si="7"/>
        <v>#N/A</v>
      </c>
      <c r="E113" s="160"/>
      <c r="F113" s="140"/>
      <c r="G113" s="141" t="e">
        <f>VLOOKUP(F113,MAESTRO!$G$4:$H$14,2,FALSE)</f>
        <v>#N/A</v>
      </c>
      <c r="H113" s="140"/>
      <c r="I113" s="140"/>
      <c r="J113" s="143"/>
      <c r="K113" s="163"/>
      <c r="L113" s="145">
        <f t="shared" ca="1" si="5"/>
        <v>126</v>
      </c>
      <c r="M113" s="166"/>
      <c r="N113" s="144"/>
      <c r="O113" s="145">
        <f t="shared" si="6"/>
        <v>0</v>
      </c>
      <c r="P113" s="168" t="e">
        <f>IF(N113="PRIMERA",
   VLOOKUP(O113,MAESTRO!M:O,2,FALSE),
   VLOOKUP(O113,MAESTRO!M:O,3,FALSE)
)</f>
        <v>#N/A</v>
      </c>
      <c r="Q113" s="148"/>
      <c r="R113" s="148" t="e">
        <f>VLOOKUP(Q113,MAESTRO!$P$5:$Q$8,2,FALSE)</f>
        <v>#N/A</v>
      </c>
      <c r="S113" s="149" t="str">
        <f t="shared" si="1"/>
        <v>NO ES TITULAR</v>
      </c>
      <c r="T113" s="154" t="str">
        <f t="shared" si="2"/>
        <v>NO ES TITULAR</v>
      </c>
      <c r="U113" s="157"/>
      <c r="V113" s="155"/>
      <c r="W113" s="140"/>
    </row>
    <row r="114" spans="1:23" ht="15.75" customHeight="1">
      <c r="A114" s="148"/>
      <c r="B114" s="148"/>
      <c r="C114" s="158" t="e">
        <f>VLOOKUP(B114,MAESTRO!$D$4:$E$10,2,FALSE)</f>
        <v>#N/A</v>
      </c>
      <c r="D114" s="145" t="e">
        <f t="shared" si="7"/>
        <v>#N/A</v>
      </c>
      <c r="E114" s="160"/>
      <c r="F114" s="140"/>
      <c r="G114" s="141" t="e">
        <f>VLOOKUP(F114,MAESTRO!$G$4:$H$14,2,FALSE)</f>
        <v>#N/A</v>
      </c>
      <c r="H114" s="140"/>
      <c r="I114" s="140"/>
      <c r="J114" s="143"/>
      <c r="K114" s="163"/>
      <c r="L114" s="145">
        <f t="shared" ca="1" si="5"/>
        <v>126</v>
      </c>
      <c r="M114" s="166"/>
      <c r="N114" s="144"/>
      <c r="O114" s="145">
        <f t="shared" si="6"/>
        <v>0</v>
      </c>
      <c r="P114" s="168" t="e">
        <f>IF(N114="PRIMERA",
   VLOOKUP(O114,MAESTRO!M:O,2,FALSE),
   VLOOKUP(O114,MAESTRO!M:O,3,FALSE)
)</f>
        <v>#N/A</v>
      </c>
      <c r="Q114" s="148"/>
      <c r="R114" s="148" t="e">
        <f>VLOOKUP(Q114,MAESTRO!$P$5:$Q$8,2,FALSE)</f>
        <v>#N/A</v>
      </c>
      <c r="S114" s="149" t="str">
        <f t="shared" si="1"/>
        <v>NO ES TITULAR</v>
      </c>
      <c r="T114" s="154" t="str">
        <f t="shared" si="2"/>
        <v>NO ES TITULAR</v>
      </c>
      <c r="U114" s="157"/>
      <c r="V114" s="155"/>
      <c r="W114" s="140"/>
    </row>
    <row r="115" spans="1:23" ht="15.75" customHeight="1">
      <c r="A115" s="148"/>
      <c r="B115" s="148"/>
      <c r="C115" s="158" t="e">
        <f>VLOOKUP(B115,MAESTRO!$D$4:$E$10,2,FALSE)</f>
        <v>#N/A</v>
      </c>
      <c r="D115" s="145" t="e">
        <f t="shared" si="7"/>
        <v>#N/A</v>
      </c>
      <c r="E115" s="160"/>
      <c r="F115" s="140"/>
      <c r="G115" s="141" t="e">
        <f>VLOOKUP(F115,MAESTRO!$G$4:$H$14,2,FALSE)</f>
        <v>#N/A</v>
      </c>
      <c r="H115" s="140"/>
      <c r="I115" s="140"/>
      <c r="J115" s="143"/>
      <c r="K115" s="163"/>
      <c r="L115" s="145">
        <f t="shared" ca="1" si="5"/>
        <v>126</v>
      </c>
      <c r="M115" s="166"/>
      <c r="N115" s="144"/>
      <c r="O115" s="145">
        <f t="shared" si="6"/>
        <v>0</v>
      </c>
      <c r="P115" s="168" t="e">
        <f>IF(N115="PRIMERA",
   VLOOKUP(O115,MAESTRO!M:O,2,FALSE),
   VLOOKUP(O115,MAESTRO!M:O,3,FALSE)
)</f>
        <v>#N/A</v>
      </c>
      <c r="Q115" s="148"/>
      <c r="R115" s="148" t="e">
        <f>VLOOKUP(Q115,MAESTRO!$P$5:$Q$8,2,FALSE)</f>
        <v>#N/A</v>
      </c>
      <c r="S115" s="149" t="str">
        <f t="shared" si="1"/>
        <v>NO ES TITULAR</v>
      </c>
      <c r="T115" s="154" t="str">
        <f t="shared" si="2"/>
        <v>NO ES TITULAR</v>
      </c>
      <c r="U115" s="157"/>
      <c r="V115" s="155"/>
      <c r="W115" s="140"/>
    </row>
    <row r="116" spans="1:23" ht="15.75" customHeight="1">
      <c r="A116" s="148"/>
      <c r="B116" s="148"/>
      <c r="C116" s="158" t="e">
        <f>VLOOKUP(B116,MAESTRO!$D$4:$E$10,2,FALSE)</f>
        <v>#N/A</v>
      </c>
      <c r="D116" s="145" t="e">
        <f t="shared" si="7"/>
        <v>#N/A</v>
      </c>
      <c r="E116" s="160"/>
      <c r="F116" s="140"/>
      <c r="G116" s="141" t="e">
        <f>VLOOKUP(F116,MAESTRO!$G$4:$H$14,2,FALSE)</f>
        <v>#N/A</v>
      </c>
      <c r="H116" s="140"/>
      <c r="I116" s="140"/>
      <c r="J116" s="143"/>
      <c r="K116" s="163"/>
      <c r="L116" s="145">
        <f t="shared" ca="1" si="5"/>
        <v>126</v>
      </c>
      <c r="M116" s="166"/>
      <c r="N116" s="144"/>
      <c r="O116" s="145">
        <f t="shared" si="6"/>
        <v>0</v>
      </c>
      <c r="P116" s="168" t="e">
        <f>IF(N116="PRIMERA",
   VLOOKUP(O116,MAESTRO!M:O,2,FALSE),
   VLOOKUP(O116,MAESTRO!M:O,3,FALSE)
)</f>
        <v>#N/A</v>
      </c>
      <c r="Q116" s="148"/>
      <c r="R116" s="148" t="e">
        <f>VLOOKUP(Q116,MAESTRO!$P$5:$Q$8,2,FALSE)</f>
        <v>#N/A</v>
      </c>
      <c r="S116" s="149" t="str">
        <f t="shared" si="1"/>
        <v>NO ES TITULAR</v>
      </c>
      <c r="T116" s="154" t="str">
        <f t="shared" si="2"/>
        <v>NO ES TITULAR</v>
      </c>
      <c r="U116" s="157"/>
      <c r="V116" s="155"/>
      <c r="W116" s="140"/>
    </row>
    <row r="117" spans="1:23" ht="15.75" customHeight="1">
      <c r="A117" s="148"/>
      <c r="B117" s="148"/>
      <c r="C117" s="158" t="e">
        <f>VLOOKUP(B117,MAESTRO!$D$4:$E$10,2,FALSE)</f>
        <v>#N/A</v>
      </c>
      <c r="D117" s="145" t="e">
        <f t="shared" si="7"/>
        <v>#N/A</v>
      </c>
      <c r="E117" s="160"/>
      <c r="F117" s="140"/>
      <c r="G117" s="141" t="e">
        <f>VLOOKUP(F117,MAESTRO!$G$4:$H$14,2,FALSE)</f>
        <v>#N/A</v>
      </c>
      <c r="H117" s="140"/>
      <c r="I117" s="140"/>
      <c r="J117" s="143"/>
      <c r="K117" s="163"/>
      <c r="L117" s="145">
        <f t="shared" ca="1" si="5"/>
        <v>126</v>
      </c>
      <c r="M117" s="166"/>
      <c r="N117" s="144"/>
      <c r="O117" s="145">
        <f t="shared" si="6"/>
        <v>0</v>
      </c>
      <c r="P117" s="168" t="e">
        <f>IF(N117="PRIMERA",
   VLOOKUP(O117,MAESTRO!M:O,2,FALSE),
   VLOOKUP(O117,MAESTRO!M:O,3,FALSE)
)</f>
        <v>#N/A</v>
      </c>
      <c r="Q117" s="148"/>
      <c r="R117" s="148" t="e">
        <f>VLOOKUP(Q117,MAESTRO!$P$5:$Q$8,2,FALSE)</f>
        <v>#N/A</v>
      </c>
      <c r="S117" s="149" t="str">
        <f t="shared" si="1"/>
        <v>NO ES TITULAR</v>
      </c>
      <c r="T117" s="154" t="str">
        <f t="shared" si="2"/>
        <v>NO ES TITULAR</v>
      </c>
      <c r="U117" s="157"/>
      <c r="V117" s="155"/>
      <c r="W117" s="140"/>
    </row>
    <row r="118" spans="1:23" ht="15.75" customHeight="1">
      <c r="A118" s="148"/>
      <c r="B118" s="148"/>
      <c r="C118" s="158" t="e">
        <f>VLOOKUP(B118,MAESTRO!$D$4:$E$10,2,FALSE)</f>
        <v>#N/A</v>
      </c>
      <c r="D118" s="145" t="e">
        <f t="shared" si="7"/>
        <v>#N/A</v>
      </c>
      <c r="E118" s="160"/>
      <c r="F118" s="140"/>
      <c r="G118" s="141" t="e">
        <f>VLOOKUP(F118,MAESTRO!$G$4:$H$14,2,FALSE)</f>
        <v>#N/A</v>
      </c>
      <c r="H118" s="140"/>
      <c r="I118" s="140"/>
      <c r="J118" s="143"/>
      <c r="K118" s="163"/>
      <c r="L118" s="145">
        <f t="shared" ca="1" si="5"/>
        <v>126</v>
      </c>
      <c r="M118" s="166"/>
      <c r="N118" s="144"/>
      <c r="O118" s="145">
        <f t="shared" si="6"/>
        <v>0</v>
      </c>
      <c r="P118" s="168" t="e">
        <f>IF(N118="PRIMERA",
   VLOOKUP(O118,MAESTRO!M:O,2,FALSE),
   VLOOKUP(O118,MAESTRO!M:O,3,FALSE)
)</f>
        <v>#N/A</v>
      </c>
      <c r="Q118" s="148"/>
      <c r="R118" s="148" t="e">
        <f>VLOOKUP(Q118,MAESTRO!$P$5:$Q$8,2,FALSE)</f>
        <v>#N/A</v>
      </c>
      <c r="S118" s="149" t="str">
        <f t="shared" si="1"/>
        <v>NO ES TITULAR</v>
      </c>
      <c r="T118" s="154" t="str">
        <f t="shared" si="2"/>
        <v>NO ES TITULAR</v>
      </c>
      <c r="U118" s="157"/>
      <c r="V118" s="155"/>
      <c r="W118" s="140"/>
    </row>
    <row r="119" spans="1:23" ht="15.75" customHeight="1">
      <c r="A119" s="148"/>
      <c r="B119" s="148"/>
      <c r="C119" s="158" t="e">
        <f>VLOOKUP(B119,MAESTRO!$D$4:$E$10,2,FALSE)</f>
        <v>#N/A</v>
      </c>
      <c r="D119" s="145" t="e">
        <f t="shared" si="7"/>
        <v>#N/A</v>
      </c>
      <c r="E119" s="160"/>
      <c r="F119" s="140"/>
      <c r="G119" s="141" t="e">
        <f>VLOOKUP(F119,MAESTRO!$G$4:$H$14,2,FALSE)</f>
        <v>#N/A</v>
      </c>
      <c r="H119" s="140"/>
      <c r="I119" s="140"/>
      <c r="J119" s="143"/>
      <c r="K119" s="163"/>
      <c r="L119" s="145">
        <f t="shared" ca="1" si="5"/>
        <v>126</v>
      </c>
      <c r="M119" s="166"/>
      <c r="N119" s="144"/>
      <c r="O119" s="145">
        <f t="shared" si="6"/>
        <v>0</v>
      </c>
      <c r="P119" s="168" t="e">
        <f>IF(N119="PRIMERA",
   VLOOKUP(O119,MAESTRO!M:O,2,FALSE),
   VLOOKUP(O119,MAESTRO!M:O,3,FALSE)
)</f>
        <v>#N/A</v>
      </c>
      <c r="Q119" s="148"/>
      <c r="R119" s="148" t="e">
        <f>VLOOKUP(Q119,MAESTRO!$P$5:$Q$8,2,FALSE)</f>
        <v>#N/A</v>
      </c>
      <c r="S119" s="149" t="str">
        <f t="shared" si="1"/>
        <v>NO ES TITULAR</v>
      </c>
      <c r="T119" s="154" t="str">
        <f t="shared" si="2"/>
        <v>NO ES TITULAR</v>
      </c>
      <c r="U119" s="157"/>
      <c r="V119" s="155"/>
      <c r="W119" s="140"/>
    </row>
    <row r="120" spans="1:23" ht="15.75" customHeight="1">
      <c r="A120" s="148"/>
      <c r="B120" s="148"/>
      <c r="C120" s="158" t="e">
        <f>VLOOKUP(B120,MAESTRO!$D$4:$E$10,2,FALSE)</f>
        <v>#N/A</v>
      </c>
      <c r="D120" s="145" t="e">
        <f t="shared" si="7"/>
        <v>#N/A</v>
      </c>
      <c r="E120" s="160"/>
      <c r="F120" s="140"/>
      <c r="G120" s="141" t="e">
        <f>VLOOKUP(F120,MAESTRO!$G$4:$H$14,2,FALSE)</f>
        <v>#N/A</v>
      </c>
      <c r="H120" s="140"/>
      <c r="I120" s="140"/>
      <c r="J120" s="143"/>
      <c r="K120" s="163"/>
      <c r="L120" s="145">
        <f t="shared" ca="1" si="5"/>
        <v>126</v>
      </c>
      <c r="M120" s="166"/>
      <c r="N120" s="144"/>
      <c r="O120" s="145">
        <f t="shared" si="6"/>
        <v>0</v>
      </c>
      <c r="P120" s="168" t="e">
        <f>IF(N120="PRIMERA",
   VLOOKUP(O120,MAESTRO!M:O,2,FALSE),
   VLOOKUP(O120,MAESTRO!M:O,3,FALSE)
)</f>
        <v>#N/A</v>
      </c>
      <c r="Q120" s="148"/>
      <c r="R120" s="148" t="e">
        <f>VLOOKUP(Q120,MAESTRO!$P$5:$Q$8,2,FALSE)</f>
        <v>#N/A</v>
      </c>
      <c r="S120" s="149" t="str">
        <f t="shared" si="1"/>
        <v>NO ES TITULAR</v>
      </c>
      <c r="T120" s="154" t="str">
        <f t="shared" si="2"/>
        <v>NO ES TITULAR</v>
      </c>
      <c r="U120" s="157"/>
      <c r="V120" s="155"/>
      <c r="W120" s="140"/>
    </row>
    <row r="121" spans="1:23" ht="15.75" customHeight="1">
      <c r="A121" s="148"/>
      <c r="B121" s="148"/>
      <c r="C121" s="158" t="e">
        <f>VLOOKUP(B121,MAESTRO!$D$4:$E$10,2,FALSE)</f>
        <v>#N/A</v>
      </c>
      <c r="D121" s="145" t="e">
        <f t="shared" si="7"/>
        <v>#N/A</v>
      </c>
      <c r="E121" s="160"/>
      <c r="F121" s="140"/>
      <c r="G121" s="141" t="e">
        <f>VLOOKUP(F121,MAESTRO!$G$4:$H$14,2,FALSE)</f>
        <v>#N/A</v>
      </c>
      <c r="H121" s="140"/>
      <c r="I121" s="140"/>
      <c r="J121" s="143"/>
      <c r="K121" s="163"/>
      <c r="L121" s="145">
        <f t="shared" ca="1" si="5"/>
        <v>126</v>
      </c>
      <c r="M121" s="166"/>
      <c r="N121" s="144"/>
      <c r="O121" s="145">
        <f t="shared" si="6"/>
        <v>0</v>
      </c>
      <c r="P121" s="168" t="e">
        <f>IF(N121="PRIMERA",
   VLOOKUP(O121,MAESTRO!M:O,2,FALSE),
   VLOOKUP(O121,MAESTRO!M:O,3,FALSE)
)</f>
        <v>#N/A</v>
      </c>
      <c r="Q121" s="148"/>
      <c r="R121" s="148" t="e">
        <f>VLOOKUP(Q121,MAESTRO!$P$5:$Q$8,2,FALSE)</f>
        <v>#N/A</v>
      </c>
      <c r="S121" s="149" t="str">
        <f t="shared" si="1"/>
        <v>NO ES TITULAR</v>
      </c>
      <c r="T121" s="154" t="str">
        <f t="shared" si="2"/>
        <v>NO ES TITULAR</v>
      </c>
      <c r="U121" s="157"/>
      <c r="V121" s="155"/>
      <c r="W121" s="140"/>
    </row>
    <row r="122" spans="1:23" ht="15.75" customHeight="1">
      <c r="A122" s="148"/>
      <c r="B122" s="148"/>
      <c r="C122" s="158" t="e">
        <f>VLOOKUP(B122,MAESTRO!$D$4:$E$10,2,FALSE)</f>
        <v>#N/A</v>
      </c>
      <c r="D122" s="145" t="e">
        <f t="shared" si="7"/>
        <v>#N/A</v>
      </c>
      <c r="E122" s="160"/>
      <c r="F122" s="140"/>
      <c r="G122" s="141" t="e">
        <f>VLOOKUP(F122,MAESTRO!$G$4:$H$14,2,FALSE)</f>
        <v>#N/A</v>
      </c>
      <c r="H122" s="140"/>
      <c r="I122" s="140"/>
      <c r="J122" s="143"/>
      <c r="K122" s="163"/>
      <c r="L122" s="145">
        <f t="shared" ca="1" si="5"/>
        <v>126</v>
      </c>
      <c r="M122" s="166"/>
      <c r="N122" s="144"/>
      <c r="O122" s="145">
        <f t="shared" si="6"/>
        <v>0</v>
      </c>
      <c r="P122" s="168" t="e">
        <f>IF(N122="PRIMERA",
   VLOOKUP(O122,MAESTRO!M:O,2,FALSE),
   VLOOKUP(O122,MAESTRO!M:O,3,FALSE)
)</f>
        <v>#N/A</v>
      </c>
      <c r="Q122" s="148"/>
      <c r="R122" s="148" t="e">
        <f>VLOOKUP(Q122,MAESTRO!$P$5:$Q$8,2,FALSE)</f>
        <v>#N/A</v>
      </c>
      <c r="S122" s="149" t="str">
        <f t="shared" si="1"/>
        <v>NO ES TITULAR</v>
      </c>
      <c r="T122" s="154" t="str">
        <f t="shared" si="2"/>
        <v>NO ES TITULAR</v>
      </c>
      <c r="U122" s="157"/>
      <c r="V122" s="155"/>
      <c r="W122" s="140"/>
    </row>
    <row r="123" spans="1:23" ht="15.75" customHeight="1">
      <c r="A123" s="148"/>
      <c r="B123" s="148"/>
      <c r="C123" s="158" t="e">
        <f>VLOOKUP(B123,MAESTRO!$D$4:$E$10,2,FALSE)</f>
        <v>#N/A</v>
      </c>
      <c r="D123" s="145" t="e">
        <f t="shared" si="7"/>
        <v>#N/A</v>
      </c>
      <c r="E123" s="160"/>
      <c r="F123" s="140"/>
      <c r="G123" s="141" t="e">
        <f>VLOOKUP(F123,MAESTRO!$G$4:$H$14,2,FALSE)</f>
        <v>#N/A</v>
      </c>
      <c r="H123" s="140"/>
      <c r="I123" s="140"/>
      <c r="J123" s="143"/>
      <c r="K123" s="163"/>
      <c r="L123" s="145">
        <f t="shared" ca="1" si="5"/>
        <v>126</v>
      </c>
      <c r="M123" s="166"/>
      <c r="N123" s="144"/>
      <c r="O123" s="145">
        <f t="shared" si="6"/>
        <v>0</v>
      </c>
      <c r="P123" s="168" t="e">
        <f>IF(N123="PRIMERA",
   VLOOKUP(O123,MAESTRO!M:O,2,FALSE),
   VLOOKUP(O123,MAESTRO!M:O,3,FALSE)
)</f>
        <v>#N/A</v>
      </c>
      <c r="Q123" s="148"/>
      <c r="R123" s="148" t="e">
        <f>VLOOKUP(Q123,MAESTRO!$P$5:$Q$8,2,FALSE)</f>
        <v>#N/A</v>
      </c>
      <c r="S123" s="149" t="str">
        <f t="shared" si="1"/>
        <v>NO ES TITULAR</v>
      </c>
      <c r="T123" s="154" t="str">
        <f t="shared" si="2"/>
        <v>NO ES TITULAR</v>
      </c>
      <c r="U123" s="157"/>
      <c r="V123" s="155"/>
      <c r="W123" s="140"/>
    </row>
    <row r="124" spans="1:23" ht="15.75" customHeight="1">
      <c r="A124" s="148"/>
      <c r="B124" s="148"/>
      <c r="C124" s="158" t="e">
        <f>VLOOKUP(B124,MAESTRO!$D$4:$E$10,2,FALSE)</f>
        <v>#N/A</v>
      </c>
      <c r="D124" s="145" t="e">
        <f t="shared" si="7"/>
        <v>#N/A</v>
      </c>
      <c r="E124" s="160"/>
      <c r="F124" s="140"/>
      <c r="G124" s="141" t="e">
        <f>VLOOKUP(F124,MAESTRO!$G$4:$H$14,2,FALSE)</f>
        <v>#N/A</v>
      </c>
      <c r="H124" s="140"/>
      <c r="I124" s="140"/>
      <c r="J124" s="143"/>
      <c r="K124" s="163"/>
      <c r="L124" s="145">
        <f t="shared" ca="1" si="5"/>
        <v>126</v>
      </c>
      <c r="M124" s="166"/>
      <c r="N124" s="144"/>
      <c r="O124" s="145">
        <f t="shared" si="6"/>
        <v>0</v>
      </c>
      <c r="P124" s="168" t="e">
        <f>IF(N124="PRIMERA",
   VLOOKUP(O124,MAESTRO!M:O,2,FALSE),
   VLOOKUP(O124,MAESTRO!M:O,3,FALSE)
)</f>
        <v>#N/A</v>
      </c>
      <c r="Q124" s="148"/>
      <c r="R124" s="148" t="e">
        <f>VLOOKUP(Q124,MAESTRO!$P$5:$Q$8,2,FALSE)</f>
        <v>#N/A</v>
      </c>
      <c r="S124" s="149" t="str">
        <f t="shared" si="1"/>
        <v>NO ES TITULAR</v>
      </c>
      <c r="T124" s="154" t="str">
        <f t="shared" si="2"/>
        <v>NO ES TITULAR</v>
      </c>
      <c r="U124" s="157"/>
      <c r="V124" s="155"/>
      <c r="W124" s="140"/>
    </row>
    <row r="125" spans="1:23" ht="15.75" customHeight="1">
      <c r="A125" s="148"/>
      <c r="B125" s="148"/>
      <c r="C125" s="158" t="e">
        <f>VLOOKUP(B125,MAESTRO!$D$4:$E$10,2,FALSE)</f>
        <v>#N/A</v>
      </c>
      <c r="D125" s="145" t="e">
        <f t="shared" si="7"/>
        <v>#N/A</v>
      </c>
      <c r="E125" s="160"/>
      <c r="F125" s="140"/>
      <c r="G125" s="141" t="e">
        <f>VLOOKUP(F125,MAESTRO!$G$4:$H$14,2,FALSE)</f>
        <v>#N/A</v>
      </c>
      <c r="H125" s="140"/>
      <c r="I125" s="140"/>
      <c r="J125" s="143"/>
      <c r="K125" s="163"/>
      <c r="L125" s="145">
        <f t="shared" ca="1" si="5"/>
        <v>126</v>
      </c>
      <c r="M125" s="166"/>
      <c r="N125" s="144"/>
      <c r="O125" s="145">
        <f t="shared" si="6"/>
        <v>0</v>
      </c>
      <c r="P125" s="168" t="e">
        <f>IF(N125="PRIMERA",
   VLOOKUP(O125,MAESTRO!M:O,2,FALSE),
   VLOOKUP(O125,MAESTRO!M:O,3,FALSE)
)</f>
        <v>#N/A</v>
      </c>
      <c r="Q125" s="148"/>
      <c r="R125" s="148" t="e">
        <f>VLOOKUP(Q125,MAESTRO!$P$5:$Q$8,2,FALSE)</f>
        <v>#N/A</v>
      </c>
      <c r="S125" s="149" t="str">
        <f t="shared" si="1"/>
        <v>NO ES TITULAR</v>
      </c>
      <c r="T125" s="154" t="str">
        <f t="shared" si="2"/>
        <v>NO ES TITULAR</v>
      </c>
      <c r="U125" s="157"/>
      <c r="V125" s="155"/>
      <c r="W125" s="140"/>
    </row>
    <row r="126" spans="1:23" ht="15.75" customHeight="1">
      <c r="A126" s="148"/>
      <c r="B126" s="148"/>
      <c r="C126" s="158" t="e">
        <f>VLOOKUP(B126,MAESTRO!$D$4:$E$10,2,FALSE)</f>
        <v>#N/A</v>
      </c>
      <c r="D126" s="145" t="e">
        <f t="shared" si="7"/>
        <v>#N/A</v>
      </c>
      <c r="E126" s="160"/>
      <c r="F126" s="140"/>
      <c r="G126" s="141" t="e">
        <f>VLOOKUP(F126,MAESTRO!$G$4:$H$14,2,FALSE)</f>
        <v>#N/A</v>
      </c>
      <c r="H126" s="140"/>
      <c r="I126" s="140"/>
      <c r="J126" s="143"/>
      <c r="K126" s="163"/>
      <c r="L126" s="145">
        <f t="shared" ca="1" si="5"/>
        <v>126</v>
      </c>
      <c r="M126" s="166"/>
      <c r="N126" s="144"/>
      <c r="O126" s="145">
        <f t="shared" si="6"/>
        <v>0</v>
      </c>
      <c r="P126" s="168" t="e">
        <f>IF(N126="PRIMERA",
   VLOOKUP(O126,MAESTRO!M:O,2,FALSE),
   VLOOKUP(O126,MAESTRO!M:O,3,FALSE)
)</f>
        <v>#N/A</v>
      </c>
      <c r="Q126" s="148"/>
      <c r="R126" s="148" t="e">
        <f>VLOOKUP(Q126,MAESTRO!$P$5:$Q$8,2,FALSE)</f>
        <v>#N/A</v>
      </c>
      <c r="S126" s="149" t="str">
        <f t="shared" si="1"/>
        <v>NO ES TITULAR</v>
      </c>
      <c r="T126" s="154" t="str">
        <f t="shared" si="2"/>
        <v>NO ES TITULAR</v>
      </c>
      <c r="U126" s="157"/>
      <c r="V126" s="155"/>
      <c r="W126" s="140"/>
    </row>
    <row r="127" spans="1:23" ht="15.75" customHeight="1">
      <c r="A127" s="148"/>
      <c r="B127" s="148"/>
      <c r="C127" s="158" t="e">
        <f>VLOOKUP(B127,MAESTRO!$D$4:$E$10,2,FALSE)</f>
        <v>#N/A</v>
      </c>
      <c r="D127" s="145" t="e">
        <f t="shared" si="7"/>
        <v>#N/A</v>
      </c>
      <c r="E127" s="160"/>
      <c r="F127" s="140"/>
      <c r="G127" s="141" t="e">
        <f>VLOOKUP(F127,MAESTRO!$G$4:$H$14,2,FALSE)</f>
        <v>#N/A</v>
      </c>
      <c r="H127" s="140"/>
      <c r="I127" s="140"/>
      <c r="J127" s="143"/>
      <c r="K127" s="163"/>
      <c r="L127" s="145">
        <f t="shared" ca="1" si="5"/>
        <v>126</v>
      </c>
      <c r="M127" s="166"/>
      <c r="N127" s="144"/>
      <c r="O127" s="145">
        <f t="shared" si="6"/>
        <v>0</v>
      </c>
      <c r="P127" s="168" t="e">
        <f>IF(N127="PRIMERA",
   VLOOKUP(O127,MAESTRO!M:O,2,FALSE),
   VLOOKUP(O127,MAESTRO!M:O,3,FALSE)
)</f>
        <v>#N/A</v>
      </c>
      <c r="Q127" s="148"/>
      <c r="R127" s="148" t="e">
        <f>VLOOKUP(Q127,MAESTRO!$P$5:$Q$8,2,FALSE)</f>
        <v>#N/A</v>
      </c>
      <c r="S127" s="149" t="str">
        <f t="shared" si="1"/>
        <v>NO ES TITULAR</v>
      </c>
      <c r="T127" s="154" t="str">
        <f t="shared" si="2"/>
        <v>NO ES TITULAR</v>
      </c>
      <c r="U127" s="157"/>
      <c r="V127" s="155"/>
      <c r="W127" s="140"/>
    </row>
    <row r="128" spans="1:23" ht="15.75" customHeight="1">
      <c r="A128" s="148"/>
      <c r="B128" s="148"/>
      <c r="C128" s="158" t="e">
        <f>VLOOKUP(B128,MAESTRO!$D$4:$E$10,2,FALSE)</f>
        <v>#N/A</v>
      </c>
      <c r="D128" s="145" t="e">
        <f t="shared" si="7"/>
        <v>#N/A</v>
      </c>
      <c r="E128" s="160"/>
      <c r="F128" s="140"/>
      <c r="G128" s="141" t="e">
        <f>VLOOKUP(F128,MAESTRO!$G$4:$H$14,2,FALSE)</f>
        <v>#N/A</v>
      </c>
      <c r="H128" s="140"/>
      <c r="I128" s="140"/>
      <c r="J128" s="143"/>
      <c r="K128" s="163"/>
      <c r="L128" s="145">
        <f t="shared" ca="1" si="5"/>
        <v>126</v>
      </c>
      <c r="M128" s="166"/>
      <c r="N128" s="144"/>
      <c r="O128" s="145">
        <f t="shared" si="6"/>
        <v>0</v>
      </c>
      <c r="P128" s="168" t="e">
        <f>IF(N128="PRIMERA",
   VLOOKUP(O128,MAESTRO!M:O,2,FALSE),
   VLOOKUP(O128,MAESTRO!M:O,3,FALSE)
)</f>
        <v>#N/A</v>
      </c>
      <c r="Q128" s="148"/>
      <c r="R128" s="148" t="e">
        <f>VLOOKUP(Q128,MAESTRO!$P$5:$Q$8,2,FALSE)</f>
        <v>#N/A</v>
      </c>
      <c r="S128" s="149" t="str">
        <f t="shared" si="1"/>
        <v>NO ES TITULAR</v>
      </c>
      <c r="T128" s="154" t="str">
        <f t="shared" si="2"/>
        <v>NO ES TITULAR</v>
      </c>
      <c r="U128" s="157"/>
      <c r="V128" s="155"/>
      <c r="W128" s="140"/>
    </row>
    <row r="129" spans="1:23" ht="15.75" customHeight="1">
      <c r="A129" s="148"/>
      <c r="B129" s="148"/>
      <c r="C129" s="158" t="e">
        <f>VLOOKUP(B129,MAESTRO!$D$4:$E$10,2,FALSE)</f>
        <v>#N/A</v>
      </c>
      <c r="D129" s="145" t="e">
        <f t="shared" si="7"/>
        <v>#N/A</v>
      </c>
      <c r="E129" s="160"/>
      <c r="F129" s="140"/>
      <c r="G129" s="141" t="e">
        <f>VLOOKUP(F129,MAESTRO!$G$4:$H$14,2,FALSE)</f>
        <v>#N/A</v>
      </c>
      <c r="H129" s="140"/>
      <c r="I129" s="140"/>
      <c r="J129" s="143"/>
      <c r="K129" s="163"/>
      <c r="L129" s="145">
        <f t="shared" ca="1" si="5"/>
        <v>126</v>
      </c>
      <c r="M129" s="166"/>
      <c r="N129" s="144"/>
      <c r="O129" s="145">
        <f t="shared" si="6"/>
        <v>0</v>
      </c>
      <c r="P129" s="168" t="e">
        <f>IF(N129="PRIMERA",
   VLOOKUP(O129,MAESTRO!M:O,2,FALSE),
   VLOOKUP(O129,MAESTRO!M:O,3,FALSE)
)</f>
        <v>#N/A</v>
      </c>
      <c r="Q129" s="148"/>
      <c r="R129" s="148" t="e">
        <f>VLOOKUP(Q129,MAESTRO!$P$5:$Q$8,2,FALSE)</f>
        <v>#N/A</v>
      </c>
      <c r="S129" s="149" t="str">
        <f t="shared" si="1"/>
        <v>NO ES TITULAR</v>
      </c>
      <c r="T129" s="154" t="str">
        <f t="shared" si="2"/>
        <v>NO ES TITULAR</v>
      </c>
      <c r="U129" s="157"/>
      <c r="V129" s="155"/>
      <c r="W129" s="140"/>
    </row>
    <row r="130" spans="1:23" ht="15.75" customHeight="1">
      <c r="A130" s="148"/>
      <c r="B130" s="148"/>
      <c r="C130" s="158" t="e">
        <f>VLOOKUP(B130,MAESTRO!$D$4:$E$10,2,FALSE)</f>
        <v>#N/A</v>
      </c>
      <c r="D130" s="145" t="e">
        <f t="shared" si="7"/>
        <v>#N/A</v>
      </c>
      <c r="E130" s="160"/>
      <c r="F130" s="140"/>
      <c r="G130" s="141" t="e">
        <f>VLOOKUP(F130,MAESTRO!$G$4:$H$14,2,FALSE)</f>
        <v>#N/A</v>
      </c>
      <c r="H130" s="140"/>
      <c r="I130" s="140"/>
      <c r="J130" s="143"/>
      <c r="K130" s="163"/>
      <c r="L130" s="145">
        <f t="shared" ref="L130:L193" ca="1" si="8">DATEDIF(K130,TODAY(),"Y")</f>
        <v>126</v>
      </c>
      <c r="M130" s="166"/>
      <c r="N130" s="144"/>
      <c r="O130" s="145">
        <f t="shared" si="6"/>
        <v>0</v>
      </c>
      <c r="P130" s="168" t="e">
        <f>IF(N130="PRIMERA",
   VLOOKUP(O130,MAESTRO!M:O,2,FALSE),
   VLOOKUP(O130,MAESTRO!M:O,3,FALSE)
)</f>
        <v>#N/A</v>
      </c>
      <c r="Q130" s="148"/>
      <c r="R130" s="148" t="e">
        <f>VLOOKUP(Q130,MAESTRO!$P$5:$Q$8,2,FALSE)</f>
        <v>#N/A</v>
      </c>
      <c r="S130" s="149" t="str">
        <f t="shared" si="1"/>
        <v>NO ES TITULAR</v>
      </c>
      <c r="T130" s="154" t="str">
        <f t="shared" si="2"/>
        <v>NO ES TITULAR</v>
      </c>
      <c r="U130" s="157"/>
      <c r="V130" s="155"/>
      <c r="W130" s="140"/>
    </row>
    <row r="131" spans="1:23" ht="15.75" customHeight="1">
      <c r="A131" s="148"/>
      <c r="B131" s="148"/>
      <c r="C131" s="158" t="e">
        <f>VLOOKUP(B131,MAESTRO!$D$4:$E$10,2,FALSE)</f>
        <v>#N/A</v>
      </c>
      <c r="D131" s="145" t="e">
        <f t="shared" si="7"/>
        <v>#N/A</v>
      </c>
      <c r="E131" s="160"/>
      <c r="F131" s="140"/>
      <c r="G131" s="141" t="e">
        <f>VLOOKUP(F131,MAESTRO!$G$4:$H$14,2,FALSE)</f>
        <v>#N/A</v>
      </c>
      <c r="H131" s="140"/>
      <c r="I131" s="140"/>
      <c r="J131" s="143"/>
      <c r="K131" s="163"/>
      <c r="L131" s="145">
        <f t="shared" ca="1" si="8"/>
        <v>126</v>
      </c>
      <c r="M131" s="166"/>
      <c r="N131" s="144"/>
      <c r="O131" s="145">
        <f t="shared" ref="O131:O194" si="9">+B131</f>
        <v>0</v>
      </c>
      <c r="P131" s="168" t="e">
        <f>IF(N131="PRIMERA",
   VLOOKUP(O131,MAESTRO!M:O,2,FALSE),
   VLOOKUP(O131,MAESTRO!M:O,3,FALSE)
)</f>
        <v>#N/A</v>
      </c>
      <c r="Q131" s="148"/>
      <c r="R131" s="148" t="e">
        <f>VLOOKUP(Q131,MAESTRO!$P$5:$Q$8,2,FALSE)</f>
        <v>#N/A</v>
      </c>
      <c r="S131" s="149" t="str">
        <f t="shared" si="1"/>
        <v>NO ES TITULAR</v>
      </c>
      <c r="T131" s="154" t="str">
        <f t="shared" si="2"/>
        <v>NO ES TITULAR</v>
      </c>
      <c r="U131" s="157"/>
      <c r="V131" s="155"/>
      <c r="W131" s="140"/>
    </row>
    <row r="132" spans="1:23" ht="15.75" customHeight="1">
      <c r="A132" s="148"/>
      <c r="B132" s="148"/>
      <c r="C132" s="158" t="e">
        <f>VLOOKUP(B132,MAESTRO!$D$4:$E$10,2,FALSE)</f>
        <v>#N/A</v>
      </c>
      <c r="D132" s="145" t="e">
        <f t="shared" ref="D132:D195" si="10">IF(C132&gt;0,1+D131)</f>
        <v>#N/A</v>
      </c>
      <c r="E132" s="160"/>
      <c r="F132" s="140"/>
      <c r="G132" s="141" t="e">
        <f>VLOOKUP(F132,MAESTRO!$G$4:$H$14,2,FALSE)</f>
        <v>#N/A</v>
      </c>
      <c r="H132" s="140"/>
      <c r="I132" s="140"/>
      <c r="J132" s="143"/>
      <c r="K132" s="163"/>
      <c r="L132" s="145">
        <f t="shared" ca="1" si="8"/>
        <v>126</v>
      </c>
      <c r="M132" s="166"/>
      <c r="N132" s="144"/>
      <c r="O132" s="145">
        <f t="shared" si="9"/>
        <v>0</v>
      </c>
      <c r="P132" s="168" t="e">
        <f>IF(N132="PRIMERA",
   VLOOKUP(O132,MAESTRO!M:O,2,FALSE),
   VLOOKUP(O132,MAESTRO!M:O,3,FALSE)
)</f>
        <v>#N/A</v>
      </c>
      <c r="Q132" s="148"/>
      <c r="R132" s="148" t="e">
        <f>VLOOKUP(Q132,MAESTRO!$P$5:$Q$8,2,FALSE)</f>
        <v>#N/A</v>
      </c>
      <c r="S132" s="149" t="str">
        <f t="shared" si="1"/>
        <v>NO ES TITULAR</v>
      </c>
      <c r="T132" s="154" t="str">
        <f t="shared" si="2"/>
        <v>NO ES TITULAR</v>
      </c>
      <c r="U132" s="157"/>
      <c r="V132" s="155"/>
      <c r="W132" s="140"/>
    </row>
    <row r="133" spans="1:23" ht="15.75" customHeight="1">
      <c r="A133" s="148"/>
      <c r="B133" s="148"/>
      <c r="C133" s="158" t="e">
        <f>VLOOKUP(B133,MAESTRO!$D$4:$E$10,2,FALSE)</f>
        <v>#N/A</v>
      </c>
      <c r="D133" s="145" t="e">
        <f t="shared" si="10"/>
        <v>#N/A</v>
      </c>
      <c r="E133" s="160"/>
      <c r="F133" s="140"/>
      <c r="G133" s="141" t="e">
        <f>VLOOKUP(F133,MAESTRO!$G$4:$H$14,2,FALSE)</f>
        <v>#N/A</v>
      </c>
      <c r="H133" s="140"/>
      <c r="I133" s="140"/>
      <c r="J133" s="143"/>
      <c r="K133" s="163"/>
      <c r="L133" s="145">
        <f t="shared" ca="1" si="8"/>
        <v>126</v>
      </c>
      <c r="M133" s="166"/>
      <c r="N133" s="144"/>
      <c r="O133" s="145">
        <f t="shared" si="9"/>
        <v>0</v>
      </c>
      <c r="P133" s="168" t="e">
        <f>IF(N133="PRIMERA",
   VLOOKUP(O133,MAESTRO!M:O,2,FALSE),
   VLOOKUP(O133,MAESTRO!M:O,3,FALSE)
)</f>
        <v>#N/A</v>
      </c>
      <c r="Q133" s="148"/>
      <c r="R133" s="148" t="e">
        <f>VLOOKUP(Q133,MAESTRO!$P$5:$Q$8,2,FALSE)</f>
        <v>#N/A</v>
      </c>
      <c r="S133" s="149" t="str">
        <f t="shared" si="1"/>
        <v>NO ES TITULAR</v>
      </c>
      <c r="T133" s="154" t="str">
        <f t="shared" si="2"/>
        <v>NO ES TITULAR</v>
      </c>
      <c r="U133" s="157"/>
      <c r="V133" s="155"/>
      <c r="W133" s="140"/>
    </row>
    <row r="134" spans="1:23" ht="15.75" customHeight="1">
      <c r="A134" s="148"/>
      <c r="B134" s="148"/>
      <c r="C134" s="158" t="e">
        <f>VLOOKUP(B134,MAESTRO!$D$4:$E$10,2,FALSE)</f>
        <v>#N/A</v>
      </c>
      <c r="D134" s="145" t="e">
        <f t="shared" si="10"/>
        <v>#N/A</v>
      </c>
      <c r="E134" s="160"/>
      <c r="F134" s="140"/>
      <c r="G134" s="141" t="e">
        <f>VLOOKUP(F134,MAESTRO!$G$4:$H$14,2,FALSE)</f>
        <v>#N/A</v>
      </c>
      <c r="H134" s="140"/>
      <c r="I134" s="140"/>
      <c r="J134" s="143"/>
      <c r="K134" s="163"/>
      <c r="L134" s="145">
        <f t="shared" ca="1" si="8"/>
        <v>126</v>
      </c>
      <c r="M134" s="166"/>
      <c r="N134" s="144"/>
      <c r="O134" s="145">
        <f t="shared" si="9"/>
        <v>0</v>
      </c>
      <c r="P134" s="168" t="e">
        <f>IF(N134="PRIMERA",
   VLOOKUP(O134,MAESTRO!M:O,2,FALSE),
   VLOOKUP(O134,MAESTRO!M:O,3,FALSE)
)</f>
        <v>#N/A</v>
      </c>
      <c r="Q134" s="148"/>
      <c r="R134" s="148" t="e">
        <f>VLOOKUP(Q134,MAESTRO!$P$5:$Q$8,2,FALSE)</f>
        <v>#N/A</v>
      </c>
      <c r="S134" s="149" t="str">
        <f t="shared" si="1"/>
        <v>NO ES TITULAR</v>
      </c>
      <c r="T134" s="154" t="str">
        <f t="shared" si="2"/>
        <v>NO ES TITULAR</v>
      </c>
      <c r="U134" s="157"/>
      <c r="V134" s="155"/>
      <c r="W134" s="140"/>
    </row>
    <row r="135" spans="1:23" ht="15.75" customHeight="1">
      <c r="A135" s="148"/>
      <c r="B135" s="148"/>
      <c r="C135" s="158" t="e">
        <f>VLOOKUP(B135,MAESTRO!$D$4:$E$10,2,FALSE)</f>
        <v>#N/A</v>
      </c>
      <c r="D135" s="145" t="e">
        <f t="shared" si="10"/>
        <v>#N/A</v>
      </c>
      <c r="E135" s="160"/>
      <c r="F135" s="140"/>
      <c r="G135" s="141" t="e">
        <f>VLOOKUP(F135,MAESTRO!$G$4:$H$14,2,FALSE)</f>
        <v>#N/A</v>
      </c>
      <c r="H135" s="140"/>
      <c r="I135" s="140"/>
      <c r="J135" s="143"/>
      <c r="K135" s="163"/>
      <c r="L135" s="145">
        <f t="shared" ca="1" si="8"/>
        <v>126</v>
      </c>
      <c r="M135" s="166"/>
      <c r="N135" s="144"/>
      <c r="O135" s="145">
        <f t="shared" si="9"/>
        <v>0</v>
      </c>
      <c r="P135" s="168" t="e">
        <f>IF(N135="PRIMERA",
   VLOOKUP(O135,MAESTRO!M:O,2,FALSE),
   VLOOKUP(O135,MAESTRO!M:O,3,FALSE)
)</f>
        <v>#N/A</v>
      </c>
      <c r="Q135" s="148"/>
      <c r="R135" s="148" t="e">
        <f>VLOOKUP(Q135,MAESTRO!$P$5:$Q$8,2,FALSE)</f>
        <v>#N/A</v>
      </c>
      <c r="S135" s="149" t="str">
        <f t="shared" si="1"/>
        <v>NO ES TITULAR</v>
      </c>
      <c r="T135" s="154" t="str">
        <f t="shared" si="2"/>
        <v>NO ES TITULAR</v>
      </c>
      <c r="U135" s="157"/>
      <c r="V135" s="155"/>
      <c r="W135" s="140"/>
    </row>
    <row r="136" spans="1:23" ht="15.75" customHeight="1">
      <c r="A136" s="148"/>
      <c r="B136" s="148"/>
      <c r="C136" s="158" t="e">
        <f>VLOOKUP(B136,MAESTRO!$D$4:$E$10,2,FALSE)</f>
        <v>#N/A</v>
      </c>
      <c r="D136" s="145" t="e">
        <f t="shared" si="10"/>
        <v>#N/A</v>
      </c>
      <c r="E136" s="160"/>
      <c r="F136" s="140"/>
      <c r="G136" s="141" t="e">
        <f>VLOOKUP(F136,MAESTRO!$G$4:$H$14,2,FALSE)</f>
        <v>#N/A</v>
      </c>
      <c r="H136" s="140"/>
      <c r="I136" s="140"/>
      <c r="J136" s="143"/>
      <c r="K136" s="163"/>
      <c r="L136" s="145">
        <f t="shared" ca="1" si="8"/>
        <v>126</v>
      </c>
      <c r="M136" s="166"/>
      <c r="N136" s="144"/>
      <c r="O136" s="145">
        <f t="shared" si="9"/>
        <v>0</v>
      </c>
      <c r="P136" s="168" t="e">
        <f>IF(N136="PRIMERA",
   VLOOKUP(O136,MAESTRO!M:O,2,FALSE),
   VLOOKUP(O136,MAESTRO!M:O,3,FALSE)
)</f>
        <v>#N/A</v>
      </c>
      <c r="Q136" s="148"/>
      <c r="R136" s="148" t="e">
        <f>VLOOKUP(Q136,MAESTRO!$P$5:$Q$8,2,FALSE)</f>
        <v>#N/A</v>
      </c>
      <c r="S136" s="149" t="str">
        <f t="shared" si="1"/>
        <v>NO ES TITULAR</v>
      </c>
      <c r="T136" s="154" t="str">
        <f t="shared" si="2"/>
        <v>NO ES TITULAR</v>
      </c>
      <c r="U136" s="157"/>
      <c r="V136" s="155"/>
      <c r="W136" s="140"/>
    </row>
    <row r="137" spans="1:23" ht="15.75" customHeight="1">
      <c r="A137" s="148"/>
      <c r="B137" s="148"/>
      <c r="C137" s="158" t="e">
        <f>VLOOKUP(B137,MAESTRO!$D$4:$E$10,2,FALSE)</f>
        <v>#N/A</v>
      </c>
      <c r="D137" s="145" t="e">
        <f t="shared" si="10"/>
        <v>#N/A</v>
      </c>
      <c r="E137" s="160"/>
      <c r="F137" s="140"/>
      <c r="G137" s="141" t="e">
        <f>VLOOKUP(F137,MAESTRO!$G$4:$H$14,2,FALSE)</f>
        <v>#N/A</v>
      </c>
      <c r="H137" s="140"/>
      <c r="I137" s="140"/>
      <c r="J137" s="143"/>
      <c r="K137" s="163"/>
      <c r="L137" s="145">
        <f t="shared" ca="1" si="8"/>
        <v>126</v>
      </c>
      <c r="M137" s="166"/>
      <c r="N137" s="144"/>
      <c r="O137" s="145">
        <f t="shared" si="9"/>
        <v>0</v>
      </c>
      <c r="P137" s="168" t="e">
        <f>IF(N137="PRIMERA",
   VLOOKUP(O137,MAESTRO!M:O,2,FALSE),
   VLOOKUP(O137,MAESTRO!M:O,3,FALSE)
)</f>
        <v>#N/A</v>
      </c>
      <c r="Q137" s="148"/>
      <c r="R137" s="148" t="e">
        <f>VLOOKUP(Q137,MAESTRO!$P$5:$Q$8,2,FALSE)</f>
        <v>#N/A</v>
      </c>
      <c r="S137" s="149" t="str">
        <f t="shared" si="1"/>
        <v>NO ES TITULAR</v>
      </c>
      <c r="T137" s="154" t="str">
        <f t="shared" si="2"/>
        <v>NO ES TITULAR</v>
      </c>
      <c r="U137" s="157"/>
      <c r="V137" s="155"/>
      <c r="W137" s="140"/>
    </row>
    <row r="138" spans="1:23" ht="15.75" customHeight="1">
      <c r="A138" s="148"/>
      <c r="B138" s="148"/>
      <c r="C138" s="158" t="e">
        <f>VLOOKUP(B138,MAESTRO!$D$4:$E$10,2,FALSE)</f>
        <v>#N/A</v>
      </c>
      <c r="D138" s="145" t="e">
        <f t="shared" si="10"/>
        <v>#N/A</v>
      </c>
      <c r="E138" s="160"/>
      <c r="F138" s="140"/>
      <c r="G138" s="141" t="e">
        <f>VLOOKUP(F138,MAESTRO!$G$4:$H$14,2,FALSE)</f>
        <v>#N/A</v>
      </c>
      <c r="H138" s="140"/>
      <c r="I138" s="140"/>
      <c r="J138" s="143"/>
      <c r="K138" s="163"/>
      <c r="L138" s="145">
        <f t="shared" ca="1" si="8"/>
        <v>126</v>
      </c>
      <c r="M138" s="166"/>
      <c r="N138" s="144"/>
      <c r="O138" s="145">
        <f t="shared" si="9"/>
        <v>0</v>
      </c>
      <c r="P138" s="168" t="e">
        <f>IF(N138="PRIMERA",
   VLOOKUP(O138,MAESTRO!M:O,2,FALSE),
   VLOOKUP(O138,MAESTRO!M:O,3,FALSE)
)</f>
        <v>#N/A</v>
      </c>
      <c r="Q138" s="148"/>
      <c r="R138" s="148" t="e">
        <f>VLOOKUP(Q138,MAESTRO!$P$5:$Q$8,2,FALSE)</f>
        <v>#N/A</v>
      </c>
      <c r="S138" s="149" t="str">
        <f t="shared" si="1"/>
        <v>NO ES TITULAR</v>
      </c>
      <c r="T138" s="154" t="str">
        <f t="shared" si="2"/>
        <v>NO ES TITULAR</v>
      </c>
      <c r="U138" s="157"/>
      <c r="V138" s="155"/>
      <c r="W138" s="140"/>
    </row>
    <row r="139" spans="1:23" ht="15.75" customHeight="1">
      <c r="A139" s="148"/>
      <c r="B139" s="148"/>
      <c r="C139" s="158" t="e">
        <f>VLOOKUP(B139,MAESTRO!$D$4:$E$10,2,FALSE)</f>
        <v>#N/A</v>
      </c>
      <c r="D139" s="145" t="e">
        <f t="shared" si="10"/>
        <v>#N/A</v>
      </c>
      <c r="E139" s="160"/>
      <c r="F139" s="140"/>
      <c r="G139" s="141" t="e">
        <f>VLOOKUP(F139,MAESTRO!$G$4:$H$14,2,FALSE)</f>
        <v>#N/A</v>
      </c>
      <c r="H139" s="140"/>
      <c r="I139" s="140"/>
      <c r="J139" s="143"/>
      <c r="K139" s="163"/>
      <c r="L139" s="145">
        <f t="shared" ca="1" si="8"/>
        <v>126</v>
      </c>
      <c r="M139" s="166"/>
      <c r="N139" s="144"/>
      <c r="O139" s="145">
        <f t="shared" si="9"/>
        <v>0</v>
      </c>
      <c r="P139" s="168" t="e">
        <f>IF(N139="PRIMERA",
   VLOOKUP(O139,MAESTRO!M:O,2,FALSE),
   VLOOKUP(O139,MAESTRO!M:O,3,FALSE)
)</f>
        <v>#N/A</v>
      </c>
      <c r="Q139" s="148"/>
      <c r="R139" s="148" t="e">
        <f>VLOOKUP(Q139,MAESTRO!$P$5:$Q$8,2,FALSE)</f>
        <v>#N/A</v>
      </c>
      <c r="S139" s="149" t="str">
        <f t="shared" si="1"/>
        <v>NO ES TITULAR</v>
      </c>
      <c r="T139" s="154" t="str">
        <f t="shared" si="2"/>
        <v>NO ES TITULAR</v>
      </c>
      <c r="U139" s="157"/>
      <c r="V139" s="155"/>
      <c r="W139" s="140"/>
    </row>
    <row r="140" spans="1:23" ht="15.75" customHeight="1">
      <c r="A140" s="148"/>
      <c r="B140" s="148"/>
      <c r="C140" s="158" t="e">
        <f>VLOOKUP(B140,MAESTRO!$D$4:$E$10,2,FALSE)</f>
        <v>#N/A</v>
      </c>
      <c r="D140" s="145" t="e">
        <f t="shared" si="10"/>
        <v>#N/A</v>
      </c>
      <c r="E140" s="160"/>
      <c r="F140" s="140"/>
      <c r="G140" s="141" t="e">
        <f>VLOOKUP(F140,MAESTRO!$G$4:$H$14,2,FALSE)</f>
        <v>#N/A</v>
      </c>
      <c r="H140" s="140"/>
      <c r="I140" s="140"/>
      <c r="J140" s="143"/>
      <c r="K140" s="163"/>
      <c r="L140" s="145">
        <f t="shared" ca="1" si="8"/>
        <v>126</v>
      </c>
      <c r="M140" s="166"/>
      <c r="N140" s="144"/>
      <c r="O140" s="145">
        <f t="shared" si="9"/>
        <v>0</v>
      </c>
      <c r="P140" s="168" t="e">
        <f>IF(N140="PRIMERA",
   VLOOKUP(O140,MAESTRO!M:O,2,FALSE),
   VLOOKUP(O140,MAESTRO!M:O,3,FALSE)
)</f>
        <v>#N/A</v>
      </c>
      <c r="Q140" s="148"/>
      <c r="R140" s="148" t="e">
        <f>VLOOKUP(Q140,MAESTRO!$P$5:$Q$8,2,FALSE)</f>
        <v>#N/A</v>
      </c>
      <c r="S140" s="149" t="str">
        <f t="shared" si="1"/>
        <v>NO ES TITULAR</v>
      </c>
      <c r="T140" s="154" t="str">
        <f t="shared" si="2"/>
        <v>NO ES TITULAR</v>
      </c>
      <c r="U140" s="157"/>
      <c r="V140" s="155"/>
      <c r="W140" s="140"/>
    </row>
    <row r="141" spans="1:23" ht="15.75" customHeight="1">
      <c r="A141" s="148"/>
      <c r="B141" s="148"/>
      <c r="C141" s="158" t="e">
        <f>VLOOKUP(B141,MAESTRO!$D$4:$E$10,2,FALSE)</f>
        <v>#N/A</v>
      </c>
      <c r="D141" s="145" t="e">
        <f t="shared" si="10"/>
        <v>#N/A</v>
      </c>
      <c r="E141" s="160"/>
      <c r="F141" s="140"/>
      <c r="G141" s="141" t="e">
        <f>VLOOKUP(F141,MAESTRO!$G$4:$H$14,2,FALSE)</f>
        <v>#N/A</v>
      </c>
      <c r="H141" s="140"/>
      <c r="I141" s="140"/>
      <c r="J141" s="143"/>
      <c r="K141" s="163"/>
      <c r="L141" s="145">
        <f t="shared" ca="1" si="8"/>
        <v>126</v>
      </c>
      <c r="M141" s="166"/>
      <c r="N141" s="144"/>
      <c r="O141" s="145">
        <f t="shared" si="9"/>
        <v>0</v>
      </c>
      <c r="P141" s="168" t="e">
        <f>IF(N141="PRIMERA",
   VLOOKUP(O141,MAESTRO!M:O,2,FALSE),
   VLOOKUP(O141,MAESTRO!M:O,3,FALSE)
)</f>
        <v>#N/A</v>
      </c>
      <c r="Q141" s="148"/>
      <c r="R141" s="148" t="e">
        <f>VLOOKUP(Q141,MAESTRO!$P$5:$Q$8,2,FALSE)</f>
        <v>#N/A</v>
      </c>
      <c r="S141" s="149" t="str">
        <f t="shared" si="1"/>
        <v>NO ES TITULAR</v>
      </c>
      <c r="T141" s="154" t="str">
        <f t="shared" si="2"/>
        <v>NO ES TITULAR</v>
      </c>
      <c r="U141" s="157"/>
      <c r="V141" s="155"/>
      <c r="W141" s="140"/>
    </row>
    <row r="142" spans="1:23" ht="15.75" customHeight="1">
      <c r="A142" s="148"/>
      <c r="B142" s="148"/>
      <c r="C142" s="158" t="e">
        <f>VLOOKUP(B142,MAESTRO!$D$4:$E$10,2,FALSE)</f>
        <v>#N/A</v>
      </c>
      <c r="D142" s="145" t="e">
        <f t="shared" si="10"/>
        <v>#N/A</v>
      </c>
      <c r="E142" s="160"/>
      <c r="F142" s="140"/>
      <c r="G142" s="141" t="e">
        <f>VLOOKUP(F142,MAESTRO!$G$4:$H$14,2,FALSE)</f>
        <v>#N/A</v>
      </c>
      <c r="H142" s="140"/>
      <c r="I142" s="140"/>
      <c r="J142" s="143"/>
      <c r="K142" s="163"/>
      <c r="L142" s="145">
        <f t="shared" ca="1" si="8"/>
        <v>126</v>
      </c>
      <c r="M142" s="166"/>
      <c r="N142" s="144"/>
      <c r="O142" s="145">
        <f t="shared" si="9"/>
        <v>0</v>
      </c>
      <c r="P142" s="168" t="e">
        <f>IF(N142="PRIMERA",
   VLOOKUP(O142,MAESTRO!M:O,2,FALSE),
   VLOOKUP(O142,MAESTRO!M:O,3,FALSE)
)</f>
        <v>#N/A</v>
      </c>
      <c r="Q142" s="148"/>
      <c r="R142" s="148" t="e">
        <f>VLOOKUP(Q142,MAESTRO!$P$5:$Q$8,2,FALSE)</f>
        <v>#N/A</v>
      </c>
      <c r="S142" s="149" t="str">
        <f t="shared" si="1"/>
        <v>NO ES TITULAR</v>
      </c>
      <c r="T142" s="154" t="str">
        <f t="shared" si="2"/>
        <v>NO ES TITULAR</v>
      </c>
      <c r="U142" s="157"/>
      <c r="V142" s="155"/>
      <c r="W142" s="140"/>
    </row>
    <row r="143" spans="1:23" ht="15.75" customHeight="1">
      <c r="A143" s="148"/>
      <c r="B143" s="148"/>
      <c r="C143" s="158" t="e">
        <f>VLOOKUP(B143,MAESTRO!$D$4:$E$10,2,FALSE)</f>
        <v>#N/A</v>
      </c>
      <c r="D143" s="145" t="e">
        <f t="shared" si="10"/>
        <v>#N/A</v>
      </c>
      <c r="E143" s="160"/>
      <c r="F143" s="140"/>
      <c r="G143" s="141" t="e">
        <f>VLOOKUP(F143,MAESTRO!$G$4:$H$14,2,FALSE)</f>
        <v>#N/A</v>
      </c>
      <c r="H143" s="140"/>
      <c r="I143" s="140"/>
      <c r="J143" s="143"/>
      <c r="K143" s="163"/>
      <c r="L143" s="145">
        <f t="shared" ca="1" si="8"/>
        <v>126</v>
      </c>
      <c r="M143" s="166"/>
      <c r="N143" s="144"/>
      <c r="O143" s="145">
        <f t="shared" si="9"/>
        <v>0</v>
      </c>
      <c r="P143" s="168" t="e">
        <f>IF(N143="PRIMERA",
   VLOOKUP(O143,MAESTRO!M:O,2,FALSE),
   VLOOKUP(O143,MAESTRO!M:O,3,FALSE)
)</f>
        <v>#N/A</v>
      </c>
      <c r="Q143" s="148"/>
      <c r="R143" s="148" t="e">
        <f>VLOOKUP(Q143,MAESTRO!$P$5:$Q$8,2,FALSE)</f>
        <v>#N/A</v>
      </c>
      <c r="S143" s="149" t="str">
        <f t="shared" si="1"/>
        <v>NO ES TITULAR</v>
      </c>
      <c r="T143" s="154" t="str">
        <f t="shared" si="2"/>
        <v>NO ES TITULAR</v>
      </c>
      <c r="U143" s="157"/>
      <c r="V143" s="155"/>
      <c r="W143" s="140"/>
    </row>
    <row r="144" spans="1:23" ht="15.75" customHeight="1">
      <c r="A144" s="148"/>
      <c r="B144" s="148"/>
      <c r="C144" s="158" t="e">
        <f>VLOOKUP(B144,MAESTRO!$D$4:$E$10,2,FALSE)</f>
        <v>#N/A</v>
      </c>
      <c r="D144" s="145" t="e">
        <f t="shared" si="10"/>
        <v>#N/A</v>
      </c>
      <c r="E144" s="160"/>
      <c r="F144" s="140"/>
      <c r="G144" s="141" t="e">
        <f>VLOOKUP(F144,MAESTRO!$G$4:$H$14,2,FALSE)</f>
        <v>#N/A</v>
      </c>
      <c r="H144" s="140"/>
      <c r="I144" s="140"/>
      <c r="J144" s="143"/>
      <c r="K144" s="163"/>
      <c r="L144" s="145">
        <f t="shared" ca="1" si="8"/>
        <v>126</v>
      </c>
      <c r="M144" s="166"/>
      <c r="N144" s="144"/>
      <c r="O144" s="145">
        <f t="shared" si="9"/>
        <v>0</v>
      </c>
      <c r="P144" s="168" t="e">
        <f>IF(N144="PRIMERA",
   VLOOKUP(O144,MAESTRO!M:O,2,FALSE),
   VLOOKUP(O144,MAESTRO!M:O,3,FALSE)
)</f>
        <v>#N/A</v>
      </c>
      <c r="Q144" s="148"/>
      <c r="R144" s="148" t="e">
        <f>VLOOKUP(Q144,MAESTRO!$P$5:$Q$8,2,FALSE)</f>
        <v>#N/A</v>
      </c>
      <c r="S144" s="149" t="str">
        <f t="shared" si="1"/>
        <v>NO ES TITULAR</v>
      </c>
      <c r="T144" s="154" t="str">
        <f t="shared" si="2"/>
        <v>NO ES TITULAR</v>
      </c>
      <c r="U144" s="157"/>
      <c r="V144" s="155"/>
      <c r="W144" s="140"/>
    </row>
    <row r="145" spans="1:23" ht="15.75" customHeight="1">
      <c r="A145" s="148"/>
      <c r="B145" s="148"/>
      <c r="C145" s="158" t="e">
        <f>VLOOKUP(B145,MAESTRO!$D$4:$E$10,2,FALSE)</f>
        <v>#N/A</v>
      </c>
      <c r="D145" s="145" t="e">
        <f t="shared" si="10"/>
        <v>#N/A</v>
      </c>
      <c r="E145" s="160"/>
      <c r="F145" s="140"/>
      <c r="G145" s="141" t="e">
        <f>VLOOKUP(F145,MAESTRO!$G$4:$H$14,2,FALSE)</f>
        <v>#N/A</v>
      </c>
      <c r="H145" s="140"/>
      <c r="I145" s="140"/>
      <c r="J145" s="143"/>
      <c r="K145" s="163"/>
      <c r="L145" s="145">
        <f t="shared" ca="1" si="8"/>
        <v>126</v>
      </c>
      <c r="M145" s="166"/>
      <c r="N145" s="144"/>
      <c r="O145" s="145">
        <f t="shared" si="9"/>
        <v>0</v>
      </c>
      <c r="P145" s="168" t="e">
        <f>IF(N145="PRIMERA",
   VLOOKUP(O145,MAESTRO!M:O,2,FALSE),
   VLOOKUP(O145,MAESTRO!M:O,3,FALSE)
)</f>
        <v>#N/A</v>
      </c>
      <c r="Q145" s="148"/>
      <c r="R145" s="148" t="e">
        <f>VLOOKUP(Q145,MAESTRO!$P$5:$Q$8,2,FALSE)</f>
        <v>#N/A</v>
      </c>
      <c r="S145" s="149" t="str">
        <f t="shared" si="1"/>
        <v>NO ES TITULAR</v>
      </c>
      <c r="T145" s="154" t="str">
        <f t="shared" si="2"/>
        <v>NO ES TITULAR</v>
      </c>
      <c r="U145" s="157"/>
      <c r="V145" s="155"/>
      <c r="W145" s="140"/>
    </row>
    <row r="146" spans="1:23" ht="15.75" customHeight="1">
      <c r="A146" s="148"/>
      <c r="B146" s="148"/>
      <c r="C146" s="158" t="e">
        <f>VLOOKUP(B146,MAESTRO!$D$4:$E$10,2,FALSE)</f>
        <v>#N/A</v>
      </c>
      <c r="D146" s="145" t="e">
        <f t="shared" si="10"/>
        <v>#N/A</v>
      </c>
      <c r="E146" s="160"/>
      <c r="F146" s="140"/>
      <c r="G146" s="141" t="e">
        <f>VLOOKUP(F146,MAESTRO!$G$4:$H$14,2,FALSE)</f>
        <v>#N/A</v>
      </c>
      <c r="H146" s="140"/>
      <c r="I146" s="140"/>
      <c r="J146" s="143"/>
      <c r="K146" s="163"/>
      <c r="L146" s="145">
        <f t="shared" ca="1" si="8"/>
        <v>126</v>
      </c>
      <c r="M146" s="166"/>
      <c r="N146" s="144"/>
      <c r="O146" s="145">
        <f t="shared" si="9"/>
        <v>0</v>
      </c>
      <c r="P146" s="168" t="e">
        <f>IF(N146="PRIMERA",
   VLOOKUP(O146,MAESTRO!M:O,2,FALSE),
   VLOOKUP(O146,MAESTRO!M:O,3,FALSE)
)</f>
        <v>#N/A</v>
      </c>
      <c r="Q146" s="148"/>
      <c r="R146" s="148" t="e">
        <f>VLOOKUP(Q146,MAESTRO!$P$5:$Q$8,2,FALSE)</f>
        <v>#N/A</v>
      </c>
      <c r="S146" s="149" t="str">
        <f t="shared" si="1"/>
        <v>NO ES TITULAR</v>
      </c>
      <c r="T146" s="154" t="str">
        <f t="shared" si="2"/>
        <v>NO ES TITULAR</v>
      </c>
      <c r="U146" s="157"/>
      <c r="V146" s="155"/>
      <c r="W146" s="140"/>
    </row>
    <row r="147" spans="1:23" ht="15.75" customHeight="1">
      <c r="A147" s="148"/>
      <c r="B147" s="148"/>
      <c r="C147" s="158" t="e">
        <f>VLOOKUP(B147,MAESTRO!$D$4:$E$10,2,FALSE)</f>
        <v>#N/A</v>
      </c>
      <c r="D147" s="145" t="e">
        <f t="shared" si="10"/>
        <v>#N/A</v>
      </c>
      <c r="E147" s="160"/>
      <c r="F147" s="140"/>
      <c r="G147" s="141" t="e">
        <f>VLOOKUP(F147,MAESTRO!$G$4:$H$14,2,FALSE)</f>
        <v>#N/A</v>
      </c>
      <c r="H147" s="140"/>
      <c r="I147" s="140"/>
      <c r="J147" s="143"/>
      <c r="K147" s="163"/>
      <c r="L147" s="145">
        <f t="shared" ca="1" si="8"/>
        <v>126</v>
      </c>
      <c r="M147" s="166"/>
      <c r="N147" s="144"/>
      <c r="O147" s="145">
        <f t="shared" si="9"/>
        <v>0</v>
      </c>
      <c r="P147" s="168" t="e">
        <f>IF(N147="PRIMERA",
   VLOOKUP(O147,MAESTRO!M:O,2,FALSE),
   VLOOKUP(O147,MAESTRO!M:O,3,FALSE)
)</f>
        <v>#N/A</v>
      </c>
      <c r="Q147" s="148"/>
      <c r="R147" s="148" t="e">
        <f>VLOOKUP(Q147,MAESTRO!$P$5:$Q$8,2,FALSE)</f>
        <v>#N/A</v>
      </c>
      <c r="S147" s="149" t="str">
        <f t="shared" si="1"/>
        <v>NO ES TITULAR</v>
      </c>
      <c r="T147" s="154" t="str">
        <f t="shared" si="2"/>
        <v>NO ES TITULAR</v>
      </c>
      <c r="U147" s="157"/>
      <c r="V147" s="155"/>
      <c r="W147" s="140"/>
    </row>
    <row r="148" spans="1:23" ht="15.75" customHeight="1">
      <c r="A148" s="148"/>
      <c r="B148" s="148"/>
      <c r="C148" s="158" t="e">
        <f>VLOOKUP(B148,MAESTRO!$D$4:$E$10,2,FALSE)</f>
        <v>#N/A</v>
      </c>
      <c r="D148" s="145" t="e">
        <f t="shared" si="10"/>
        <v>#N/A</v>
      </c>
      <c r="E148" s="160"/>
      <c r="F148" s="140"/>
      <c r="G148" s="141" t="e">
        <f>VLOOKUP(F148,MAESTRO!$G$4:$H$14,2,FALSE)</f>
        <v>#N/A</v>
      </c>
      <c r="H148" s="140"/>
      <c r="I148" s="140"/>
      <c r="J148" s="143"/>
      <c r="K148" s="163"/>
      <c r="L148" s="145">
        <f t="shared" ca="1" si="8"/>
        <v>126</v>
      </c>
      <c r="M148" s="166"/>
      <c r="N148" s="144"/>
      <c r="O148" s="145">
        <f t="shared" si="9"/>
        <v>0</v>
      </c>
      <c r="P148" s="168" t="e">
        <f>IF(N148="PRIMERA",
   VLOOKUP(O148,MAESTRO!M:O,2,FALSE),
   VLOOKUP(O148,MAESTRO!M:O,3,FALSE)
)</f>
        <v>#N/A</v>
      </c>
      <c r="Q148" s="148"/>
      <c r="R148" s="148" t="e">
        <f>VLOOKUP(Q148,MAESTRO!$P$5:$Q$8,2,FALSE)</f>
        <v>#N/A</v>
      </c>
      <c r="S148" s="149" t="str">
        <f t="shared" si="1"/>
        <v>NO ES TITULAR</v>
      </c>
      <c r="T148" s="154" t="str">
        <f t="shared" si="2"/>
        <v>NO ES TITULAR</v>
      </c>
      <c r="U148" s="157"/>
      <c r="V148" s="155"/>
      <c r="W148" s="140"/>
    </row>
    <row r="149" spans="1:23" ht="15.75" customHeight="1">
      <c r="A149" s="148"/>
      <c r="B149" s="148"/>
      <c r="C149" s="158" t="e">
        <f>VLOOKUP(B149,MAESTRO!$D$4:$E$10,2,FALSE)</f>
        <v>#N/A</v>
      </c>
      <c r="D149" s="145" t="e">
        <f t="shared" si="10"/>
        <v>#N/A</v>
      </c>
      <c r="E149" s="160"/>
      <c r="F149" s="140"/>
      <c r="G149" s="141" t="e">
        <f>VLOOKUP(F149,MAESTRO!$G$4:$H$14,2,FALSE)</f>
        <v>#N/A</v>
      </c>
      <c r="H149" s="140"/>
      <c r="I149" s="140"/>
      <c r="J149" s="143"/>
      <c r="K149" s="163"/>
      <c r="L149" s="145">
        <f t="shared" ca="1" si="8"/>
        <v>126</v>
      </c>
      <c r="M149" s="166"/>
      <c r="N149" s="144"/>
      <c r="O149" s="145">
        <f t="shared" si="9"/>
        <v>0</v>
      </c>
      <c r="P149" s="168" t="e">
        <f>IF(N149="PRIMERA",
   VLOOKUP(O149,MAESTRO!M:O,2,FALSE),
   VLOOKUP(O149,MAESTRO!M:O,3,FALSE)
)</f>
        <v>#N/A</v>
      </c>
      <c r="Q149" s="148"/>
      <c r="R149" s="148" t="e">
        <f>VLOOKUP(Q149,MAESTRO!$P$5:$Q$8,2,FALSE)</f>
        <v>#N/A</v>
      </c>
      <c r="S149" s="149" t="str">
        <f t="shared" si="1"/>
        <v>NO ES TITULAR</v>
      </c>
      <c r="T149" s="154" t="str">
        <f t="shared" si="2"/>
        <v>NO ES TITULAR</v>
      </c>
      <c r="U149" s="157"/>
      <c r="V149" s="155"/>
      <c r="W149" s="140"/>
    </row>
    <row r="150" spans="1:23" ht="15.75" customHeight="1">
      <c r="A150" s="148"/>
      <c r="B150" s="148"/>
      <c r="C150" s="158" t="e">
        <f>VLOOKUP(B150,MAESTRO!$D$4:$E$10,2,FALSE)</f>
        <v>#N/A</v>
      </c>
      <c r="D150" s="145" t="e">
        <f t="shared" si="10"/>
        <v>#N/A</v>
      </c>
      <c r="E150" s="160"/>
      <c r="F150" s="140"/>
      <c r="G150" s="141" t="e">
        <f>VLOOKUP(F150,MAESTRO!$G$4:$H$14,2,FALSE)</f>
        <v>#N/A</v>
      </c>
      <c r="H150" s="140"/>
      <c r="I150" s="140"/>
      <c r="J150" s="143"/>
      <c r="K150" s="163"/>
      <c r="L150" s="145">
        <f t="shared" ca="1" si="8"/>
        <v>126</v>
      </c>
      <c r="M150" s="166"/>
      <c r="N150" s="144"/>
      <c r="O150" s="145">
        <f t="shared" si="9"/>
        <v>0</v>
      </c>
      <c r="P150" s="168" t="e">
        <f>IF(N150="PRIMERA",
   VLOOKUP(O150,MAESTRO!M:O,2,FALSE),
   VLOOKUP(O150,MAESTRO!M:O,3,FALSE)
)</f>
        <v>#N/A</v>
      </c>
      <c r="Q150" s="148"/>
      <c r="R150" s="148" t="e">
        <f>VLOOKUP(Q150,MAESTRO!$P$5:$Q$8,2,FALSE)</f>
        <v>#N/A</v>
      </c>
      <c r="S150" s="149" t="str">
        <f t="shared" si="1"/>
        <v>NO ES TITULAR</v>
      </c>
      <c r="T150" s="154" t="str">
        <f t="shared" si="2"/>
        <v>NO ES TITULAR</v>
      </c>
      <c r="U150" s="157"/>
      <c r="V150" s="155"/>
      <c r="W150" s="140"/>
    </row>
    <row r="151" spans="1:23" ht="15.75" customHeight="1">
      <c r="A151" s="148"/>
      <c r="B151" s="148"/>
      <c r="C151" s="158" t="e">
        <f>VLOOKUP(B151,MAESTRO!$D$4:$E$10,2,FALSE)</f>
        <v>#N/A</v>
      </c>
      <c r="D151" s="145" t="e">
        <f t="shared" si="10"/>
        <v>#N/A</v>
      </c>
      <c r="E151" s="160"/>
      <c r="F151" s="140"/>
      <c r="G151" s="141" t="e">
        <f>VLOOKUP(F151,MAESTRO!$G$4:$H$14,2,FALSE)</f>
        <v>#N/A</v>
      </c>
      <c r="H151" s="140"/>
      <c r="I151" s="140"/>
      <c r="J151" s="143"/>
      <c r="K151" s="163"/>
      <c r="L151" s="145">
        <f t="shared" ca="1" si="8"/>
        <v>126</v>
      </c>
      <c r="M151" s="166"/>
      <c r="N151" s="144"/>
      <c r="O151" s="145">
        <f t="shared" si="9"/>
        <v>0</v>
      </c>
      <c r="P151" s="168" t="e">
        <f>IF(N151="PRIMERA",
   VLOOKUP(O151,MAESTRO!M:O,2,FALSE),
   VLOOKUP(O151,MAESTRO!M:O,3,FALSE)
)</f>
        <v>#N/A</v>
      </c>
      <c r="Q151" s="148"/>
      <c r="R151" s="148" t="e">
        <f>VLOOKUP(Q151,MAESTRO!$P$5:$Q$8,2,FALSE)</f>
        <v>#N/A</v>
      </c>
      <c r="S151" s="149" t="str">
        <f t="shared" si="1"/>
        <v>NO ES TITULAR</v>
      </c>
      <c r="T151" s="154" t="str">
        <f t="shared" si="2"/>
        <v>NO ES TITULAR</v>
      </c>
      <c r="U151" s="157"/>
      <c r="V151" s="155"/>
      <c r="W151" s="140"/>
    </row>
    <row r="152" spans="1:23" ht="15.75" customHeight="1">
      <c r="A152" s="148"/>
      <c r="B152" s="148"/>
      <c r="C152" s="158" t="e">
        <f>VLOOKUP(B152,MAESTRO!$D$4:$E$10,2,FALSE)</f>
        <v>#N/A</v>
      </c>
      <c r="D152" s="145" t="e">
        <f t="shared" si="10"/>
        <v>#N/A</v>
      </c>
      <c r="E152" s="160"/>
      <c r="F152" s="140"/>
      <c r="G152" s="141" t="e">
        <f>VLOOKUP(F152,MAESTRO!$G$4:$H$14,2,FALSE)</f>
        <v>#N/A</v>
      </c>
      <c r="H152" s="140"/>
      <c r="I152" s="140"/>
      <c r="J152" s="143"/>
      <c r="K152" s="163"/>
      <c r="L152" s="145">
        <f t="shared" ca="1" si="8"/>
        <v>126</v>
      </c>
      <c r="M152" s="166"/>
      <c r="N152" s="144"/>
      <c r="O152" s="145">
        <f t="shared" si="9"/>
        <v>0</v>
      </c>
      <c r="P152" s="168" t="e">
        <f>IF(N152="PRIMERA",
   VLOOKUP(O152,MAESTRO!M:O,2,FALSE),
   VLOOKUP(O152,MAESTRO!M:O,3,FALSE)
)</f>
        <v>#N/A</v>
      </c>
      <c r="Q152" s="148"/>
      <c r="R152" s="148" t="e">
        <f>VLOOKUP(Q152,MAESTRO!$P$5:$Q$8,2,FALSE)</f>
        <v>#N/A</v>
      </c>
      <c r="S152" s="149" t="str">
        <f t="shared" si="1"/>
        <v>NO ES TITULAR</v>
      </c>
      <c r="T152" s="154" t="str">
        <f t="shared" si="2"/>
        <v>NO ES TITULAR</v>
      </c>
      <c r="U152" s="157"/>
      <c r="V152" s="155"/>
      <c r="W152" s="140"/>
    </row>
    <row r="153" spans="1:23" ht="15.75" customHeight="1">
      <c r="A153" s="148"/>
      <c r="B153" s="148"/>
      <c r="C153" s="158" t="e">
        <f>VLOOKUP(B153,MAESTRO!$D$4:$E$10,2,FALSE)</f>
        <v>#N/A</v>
      </c>
      <c r="D153" s="145" t="e">
        <f t="shared" si="10"/>
        <v>#N/A</v>
      </c>
      <c r="E153" s="160"/>
      <c r="F153" s="140"/>
      <c r="G153" s="141" t="e">
        <f>VLOOKUP(F153,MAESTRO!$G$4:$H$14,2,FALSE)</f>
        <v>#N/A</v>
      </c>
      <c r="H153" s="140"/>
      <c r="I153" s="140"/>
      <c r="J153" s="143"/>
      <c r="K153" s="163"/>
      <c r="L153" s="145">
        <f t="shared" ca="1" si="8"/>
        <v>126</v>
      </c>
      <c r="M153" s="166"/>
      <c r="N153" s="144"/>
      <c r="O153" s="145">
        <f t="shared" si="9"/>
        <v>0</v>
      </c>
      <c r="P153" s="168" t="e">
        <f>IF(N153="PRIMERA",
   VLOOKUP(O153,MAESTRO!M:O,2,FALSE),
   VLOOKUP(O153,MAESTRO!M:O,3,FALSE)
)</f>
        <v>#N/A</v>
      </c>
      <c r="Q153" s="148"/>
      <c r="R153" s="148" t="e">
        <f>VLOOKUP(Q153,MAESTRO!$P$5:$Q$8,2,FALSE)</f>
        <v>#N/A</v>
      </c>
      <c r="S153" s="149" t="str">
        <f t="shared" si="1"/>
        <v>NO ES TITULAR</v>
      </c>
      <c r="T153" s="154" t="str">
        <f t="shared" si="2"/>
        <v>NO ES TITULAR</v>
      </c>
      <c r="U153" s="157"/>
      <c r="V153" s="155"/>
      <c r="W153" s="140"/>
    </row>
    <row r="154" spans="1:23" ht="15.75" customHeight="1">
      <c r="A154" s="148"/>
      <c r="B154" s="148"/>
      <c r="C154" s="158" t="e">
        <f>VLOOKUP(B154,MAESTRO!$D$4:$E$10,2,FALSE)</f>
        <v>#N/A</v>
      </c>
      <c r="D154" s="145" t="e">
        <f t="shared" si="10"/>
        <v>#N/A</v>
      </c>
      <c r="E154" s="160"/>
      <c r="F154" s="140"/>
      <c r="G154" s="141" t="e">
        <f>VLOOKUP(F154,MAESTRO!$G$4:$H$14,2,FALSE)</f>
        <v>#N/A</v>
      </c>
      <c r="H154" s="140"/>
      <c r="I154" s="140"/>
      <c r="J154" s="143"/>
      <c r="K154" s="163"/>
      <c r="L154" s="145">
        <f t="shared" ca="1" si="8"/>
        <v>126</v>
      </c>
      <c r="M154" s="166"/>
      <c r="N154" s="144"/>
      <c r="O154" s="145">
        <f t="shared" si="9"/>
        <v>0</v>
      </c>
      <c r="P154" s="168" t="e">
        <f>IF(N154="PRIMERA",
   VLOOKUP(O154,MAESTRO!M:O,2,FALSE),
   VLOOKUP(O154,MAESTRO!M:O,3,FALSE)
)</f>
        <v>#N/A</v>
      </c>
      <c r="Q154" s="148"/>
      <c r="R154" s="148" t="e">
        <f>VLOOKUP(Q154,MAESTRO!$P$5:$Q$8,2,FALSE)</f>
        <v>#N/A</v>
      </c>
      <c r="S154" s="149" t="str">
        <f t="shared" si="1"/>
        <v>NO ES TITULAR</v>
      </c>
      <c r="T154" s="154" t="str">
        <f t="shared" si="2"/>
        <v>NO ES TITULAR</v>
      </c>
      <c r="U154" s="157"/>
      <c r="V154" s="155"/>
      <c r="W154" s="140"/>
    </row>
    <row r="155" spans="1:23" ht="15.75" customHeight="1">
      <c r="A155" s="148"/>
      <c r="B155" s="148"/>
      <c r="C155" s="158" t="e">
        <f>VLOOKUP(B155,MAESTRO!$D$4:$E$10,2,FALSE)</f>
        <v>#N/A</v>
      </c>
      <c r="D155" s="145" t="e">
        <f t="shared" si="10"/>
        <v>#N/A</v>
      </c>
      <c r="E155" s="160"/>
      <c r="F155" s="140"/>
      <c r="G155" s="141" t="e">
        <f>VLOOKUP(F155,MAESTRO!$G$4:$H$14,2,FALSE)</f>
        <v>#N/A</v>
      </c>
      <c r="H155" s="140"/>
      <c r="I155" s="140"/>
      <c r="J155" s="143"/>
      <c r="K155" s="163"/>
      <c r="L155" s="145">
        <f t="shared" ca="1" si="8"/>
        <v>126</v>
      </c>
      <c r="M155" s="166"/>
      <c r="N155" s="144"/>
      <c r="O155" s="145">
        <f t="shared" si="9"/>
        <v>0</v>
      </c>
      <c r="P155" s="168" t="e">
        <f>IF(N155="PRIMERA",
   VLOOKUP(O155,MAESTRO!M:O,2,FALSE),
   VLOOKUP(O155,MAESTRO!M:O,3,FALSE)
)</f>
        <v>#N/A</v>
      </c>
      <c r="Q155" s="148"/>
      <c r="R155" s="148" t="e">
        <f>VLOOKUP(Q155,MAESTRO!$P$5:$Q$8,2,FALSE)</f>
        <v>#N/A</v>
      </c>
      <c r="S155" s="149" t="str">
        <f t="shared" si="1"/>
        <v>NO ES TITULAR</v>
      </c>
      <c r="T155" s="154" t="str">
        <f t="shared" si="2"/>
        <v>NO ES TITULAR</v>
      </c>
      <c r="U155" s="157"/>
      <c r="V155" s="155"/>
      <c r="W155" s="140"/>
    </row>
    <row r="156" spans="1:23" ht="15.75" customHeight="1">
      <c r="A156" s="148"/>
      <c r="B156" s="148"/>
      <c r="C156" s="158" t="e">
        <f>VLOOKUP(B156,MAESTRO!$D$4:$E$10,2,FALSE)</f>
        <v>#N/A</v>
      </c>
      <c r="D156" s="145" t="e">
        <f t="shared" si="10"/>
        <v>#N/A</v>
      </c>
      <c r="E156" s="160"/>
      <c r="F156" s="140"/>
      <c r="G156" s="141" t="e">
        <f>VLOOKUP(F156,MAESTRO!$G$4:$H$14,2,FALSE)</f>
        <v>#N/A</v>
      </c>
      <c r="H156" s="140"/>
      <c r="I156" s="140"/>
      <c r="J156" s="143"/>
      <c r="K156" s="163"/>
      <c r="L156" s="145">
        <f t="shared" ca="1" si="8"/>
        <v>126</v>
      </c>
      <c r="M156" s="166"/>
      <c r="N156" s="144"/>
      <c r="O156" s="145">
        <f t="shared" si="9"/>
        <v>0</v>
      </c>
      <c r="P156" s="168" t="e">
        <f>IF(N156="PRIMERA",
   VLOOKUP(O156,MAESTRO!M:O,2,FALSE),
   VLOOKUP(O156,MAESTRO!M:O,3,FALSE)
)</f>
        <v>#N/A</v>
      </c>
      <c r="Q156" s="148"/>
      <c r="R156" s="148" t="e">
        <f>VLOOKUP(Q156,MAESTRO!$P$5:$Q$8,2,FALSE)</f>
        <v>#N/A</v>
      </c>
      <c r="S156" s="149" t="str">
        <f t="shared" si="1"/>
        <v>NO ES TITULAR</v>
      </c>
      <c r="T156" s="154" t="str">
        <f t="shared" si="2"/>
        <v>NO ES TITULAR</v>
      </c>
      <c r="U156" s="157"/>
      <c r="V156" s="155"/>
      <c r="W156" s="140"/>
    </row>
    <row r="157" spans="1:23" ht="15.75" customHeight="1">
      <c r="A157" s="148"/>
      <c r="B157" s="148"/>
      <c r="C157" s="158" t="e">
        <f>VLOOKUP(B157,MAESTRO!$D$4:$E$10,2,FALSE)</f>
        <v>#N/A</v>
      </c>
      <c r="D157" s="145" t="e">
        <f t="shared" si="10"/>
        <v>#N/A</v>
      </c>
      <c r="E157" s="160"/>
      <c r="F157" s="140"/>
      <c r="G157" s="141" t="e">
        <f>VLOOKUP(F157,MAESTRO!$G$4:$H$14,2,FALSE)</f>
        <v>#N/A</v>
      </c>
      <c r="H157" s="140"/>
      <c r="I157" s="140"/>
      <c r="J157" s="143"/>
      <c r="K157" s="163"/>
      <c r="L157" s="145">
        <f t="shared" ca="1" si="8"/>
        <v>126</v>
      </c>
      <c r="M157" s="166"/>
      <c r="N157" s="144"/>
      <c r="O157" s="145">
        <f t="shared" si="9"/>
        <v>0</v>
      </c>
      <c r="P157" s="168" t="e">
        <f>IF(N157="PRIMERA",
   VLOOKUP(O157,MAESTRO!M:O,2,FALSE),
   VLOOKUP(O157,MAESTRO!M:O,3,FALSE)
)</f>
        <v>#N/A</v>
      </c>
      <c r="Q157" s="148"/>
      <c r="R157" s="148" t="e">
        <f>VLOOKUP(Q157,MAESTRO!$P$5:$Q$8,2,FALSE)</f>
        <v>#N/A</v>
      </c>
      <c r="S157" s="149" t="str">
        <f t="shared" si="1"/>
        <v>NO ES TITULAR</v>
      </c>
      <c r="T157" s="154" t="str">
        <f t="shared" si="2"/>
        <v>NO ES TITULAR</v>
      </c>
      <c r="U157" s="157"/>
      <c r="V157" s="155"/>
      <c r="W157" s="140"/>
    </row>
    <row r="158" spans="1:23" ht="15.75" customHeight="1">
      <c r="A158" s="148"/>
      <c r="B158" s="148"/>
      <c r="C158" s="158" t="e">
        <f>VLOOKUP(B158,MAESTRO!$D$4:$E$10,2,FALSE)</f>
        <v>#N/A</v>
      </c>
      <c r="D158" s="145" t="e">
        <f t="shared" si="10"/>
        <v>#N/A</v>
      </c>
      <c r="E158" s="160"/>
      <c r="F158" s="140"/>
      <c r="G158" s="141" t="e">
        <f>VLOOKUP(F158,MAESTRO!$G$4:$H$14,2,FALSE)</f>
        <v>#N/A</v>
      </c>
      <c r="H158" s="140"/>
      <c r="I158" s="140"/>
      <c r="J158" s="143"/>
      <c r="K158" s="163"/>
      <c r="L158" s="145">
        <f t="shared" ca="1" si="8"/>
        <v>126</v>
      </c>
      <c r="M158" s="166"/>
      <c r="N158" s="144"/>
      <c r="O158" s="145">
        <f t="shared" si="9"/>
        <v>0</v>
      </c>
      <c r="P158" s="168" t="e">
        <f>IF(N158="PRIMERA",
   VLOOKUP(O158,MAESTRO!M:O,2,FALSE),
   VLOOKUP(O158,MAESTRO!M:O,3,FALSE)
)</f>
        <v>#N/A</v>
      </c>
      <c r="Q158" s="148"/>
      <c r="R158" s="148" t="e">
        <f>VLOOKUP(Q158,MAESTRO!$P$5:$Q$8,2,FALSE)</f>
        <v>#N/A</v>
      </c>
      <c r="S158" s="149" t="str">
        <f t="shared" si="1"/>
        <v>NO ES TITULAR</v>
      </c>
      <c r="T158" s="154" t="str">
        <f t="shared" si="2"/>
        <v>NO ES TITULAR</v>
      </c>
      <c r="U158" s="157"/>
      <c r="V158" s="155"/>
      <c r="W158" s="140"/>
    </row>
    <row r="159" spans="1:23" ht="15.75" customHeight="1">
      <c r="A159" s="148"/>
      <c r="B159" s="148"/>
      <c r="C159" s="158" t="e">
        <f>VLOOKUP(B159,MAESTRO!$D$4:$E$10,2,FALSE)</f>
        <v>#N/A</v>
      </c>
      <c r="D159" s="145" t="e">
        <f t="shared" si="10"/>
        <v>#N/A</v>
      </c>
      <c r="E159" s="160"/>
      <c r="F159" s="140"/>
      <c r="G159" s="141" t="e">
        <f>VLOOKUP(F159,MAESTRO!$G$4:$H$14,2,FALSE)</f>
        <v>#N/A</v>
      </c>
      <c r="H159" s="140"/>
      <c r="I159" s="140"/>
      <c r="J159" s="143"/>
      <c r="K159" s="163"/>
      <c r="L159" s="145">
        <f t="shared" ca="1" si="8"/>
        <v>126</v>
      </c>
      <c r="M159" s="166"/>
      <c r="N159" s="144"/>
      <c r="O159" s="145">
        <f t="shared" si="9"/>
        <v>0</v>
      </c>
      <c r="P159" s="168" t="e">
        <f>IF(N159="PRIMERA",
   VLOOKUP(O159,MAESTRO!M:O,2,FALSE),
   VLOOKUP(O159,MAESTRO!M:O,3,FALSE)
)</f>
        <v>#N/A</v>
      </c>
      <c r="Q159" s="148"/>
      <c r="R159" s="148" t="e">
        <f>VLOOKUP(Q159,MAESTRO!$P$5:$Q$8,2,FALSE)</f>
        <v>#N/A</v>
      </c>
      <c r="S159" s="149" t="str">
        <f t="shared" si="1"/>
        <v>NO ES TITULAR</v>
      </c>
      <c r="T159" s="154" t="str">
        <f t="shared" si="2"/>
        <v>NO ES TITULAR</v>
      </c>
      <c r="U159" s="157"/>
      <c r="V159" s="155"/>
      <c r="W159" s="140"/>
    </row>
    <row r="160" spans="1:23" ht="15.75" customHeight="1">
      <c r="A160" s="148"/>
      <c r="B160" s="148"/>
      <c r="C160" s="158" t="e">
        <f>VLOOKUP(B160,MAESTRO!$D$4:$E$10,2,FALSE)</f>
        <v>#N/A</v>
      </c>
      <c r="D160" s="145" t="e">
        <f t="shared" si="10"/>
        <v>#N/A</v>
      </c>
      <c r="E160" s="160"/>
      <c r="F160" s="140"/>
      <c r="G160" s="141" t="e">
        <f>VLOOKUP(F160,MAESTRO!$G$4:$H$14,2,FALSE)</f>
        <v>#N/A</v>
      </c>
      <c r="H160" s="140"/>
      <c r="I160" s="140"/>
      <c r="J160" s="143"/>
      <c r="K160" s="163"/>
      <c r="L160" s="145">
        <f t="shared" ca="1" si="8"/>
        <v>126</v>
      </c>
      <c r="M160" s="166"/>
      <c r="N160" s="144"/>
      <c r="O160" s="145">
        <f t="shared" si="9"/>
        <v>0</v>
      </c>
      <c r="P160" s="168" t="e">
        <f>IF(N160="PRIMERA",
   VLOOKUP(O160,MAESTRO!M:O,2,FALSE),
   VLOOKUP(O160,MAESTRO!M:O,3,FALSE)
)</f>
        <v>#N/A</v>
      </c>
      <c r="Q160" s="148"/>
      <c r="R160" s="148" t="e">
        <f>VLOOKUP(Q160,MAESTRO!$P$5:$Q$8,2,FALSE)</f>
        <v>#N/A</v>
      </c>
      <c r="S160" s="149" t="str">
        <f t="shared" si="1"/>
        <v>NO ES TITULAR</v>
      </c>
      <c r="T160" s="154" t="str">
        <f t="shared" si="2"/>
        <v>NO ES TITULAR</v>
      </c>
      <c r="U160" s="157"/>
      <c r="V160" s="155"/>
      <c r="W160" s="140"/>
    </row>
    <row r="161" spans="1:23" ht="15.75" customHeight="1">
      <c r="A161" s="148"/>
      <c r="B161" s="148"/>
      <c r="C161" s="158" t="e">
        <f>VLOOKUP(B161,MAESTRO!$D$4:$E$10,2,FALSE)</f>
        <v>#N/A</v>
      </c>
      <c r="D161" s="145" t="e">
        <f t="shared" si="10"/>
        <v>#N/A</v>
      </c>
      <c r="E161" s="160"/>
      <c r="F161" s="140"/>
      <c r="G161" s="141" t="e">
        <f>VLOOKUP(F161,MAESTRO!$G$4:$H$14,2,FALSE)</f>
        <v>#N/A</v>
      </c>
      <c r="H161" s="140"/>
      <c r="I161" s="140"/>
      <c r="J161" s="143"/>
      <c r="K161" s="163"/>
      <c r="L161" s="145">
        <f t="shared" ca="1" si="8"/>
        <v>126</v>
      </c>
      <c r="M161" s="166"/>
      <c r="N161" s="144"/>
      <c r="O161" s="145">
        <f t="shared" si="9"/>
        <v>0</v>
      </c>
      <c r="P161" s="168" t="e">
        <f>IF(N161="PRIMERA",
   VLOOKUP(O161,MAESTRO!M:O,2,FALSE),
   VLOOKUP(O161,MAESTRO!M:O,3,FALSE)
)</f>
        <v>#N/A</v>
      </c>
      <c r="Q161" s="148"/>
      <c r="R161" s="148" t="e">
        <f>VLOOKUP(Q161,MAESTRO!$P$5:$Q$8,2,FALSE)</f>
        <v>#N/A</v>
      </c>
      <c r="S161" s="149" t="str">
        <f t="shared" si="1"/>
        <v>NO ES TITULAR</v>
      </c>
      <c r="T161" s="154" t="str">
        <f t="shared" si="2"/>
        <v>NO ES TITULAR</v>
      </c>
      <c r="U161" s="157"/>
      <c r="V161" s="155"/>
      <c r="W161" s="140"/>
    </row>
    <row r="162" spans="1:23" ht="15.75" customHeight="1">
      <c r="A162" s="148"/>
      <c r="B162" s="148"/>
      <c r="C162" s="158" t="e">
        <f>VLOOKUP(B162,MAESTRO!$D$4:$E$10,2,FALSE)</f>
        <v>#N/A</v>
      </c>
      <c r="D162" s="145" t="e">
        <f t="shared" si="10"/>
        <v>#N/A</v>
      </c>
      <c r="E162" s="160"/>
      <c r="F162" s="140"/>
      <c r="G162" s="141" t="e">
        <f>VLOOKUP(F162,MAESTRO!$G$4:$H$14,2,FALSE)</f>
        <v>#N/A</v>
      </c>
      <c r="H162" s="140"/>
      <c r="I162" s="140"/>
      <c r="J162" s="143"/>
      <c r="K162" s="163"/>
      <c r="L162" s="145">
        <f t="shared" ca="1" si="8"/>
        <v>126</v>
      </c>
      <c r="M162" s="166"/>
      <c r="N162" s="144"/>
      <c r="O162" s="145">
        <f t="shared" si="9"/>
        <v>0</v>
      </c>
      <c r="P162" s="168" t="e">
        <f>IF(N162="PRIMERA",
   VLOOKUP(O162,MAESTRO!M:O,2,FALSE),
   VLOOKUP(O162,MAESTRO!M:O,3,FALSE)
)</f>
        <v>#N/A</v>
      </c>
      <c r="Q162" s="148"/>
      <c r="R162" s="148" t="e">
        <f>VLOOKUP(Q162,MAESTRO!$P$5:$Q$8,2,FALSE)</f>
        <v>#N/A</v>
      </c>
      <c r="S162" s="149" t="str">
        <f t="shared" si="1"/>
        <v>NO ES TITULAR</v>
      </c>
      <c r="T162" s="154" t="str">
        <f t="shared" si="2"/>
        <v>NO ES TITULAR</v>
      </c>
      <c r="U162" s="157"/>
      <c r="V162" s="155"/>
      <c r="W162" s="140"/>
    </row>
    <row r="163" spans="1:23" ht="15.75" customHeight="1">
      <c r="A163" s="148"/>
      <c r="B163" s="148"/>
      <c r="C163" s="158" t="e">
        <f>VLOOKUP(B163,MAESTRO!$D$4:$E$10,2,FALSE)</f>
        <v>#N/A</v>
      </c>
      <c r="D163" s="145" t="e">
        <f t="shared" si="10"/>
        <v>#N/A</v>
      </c>
      <c r="E163" s="160"/>
      <c r="F163" s="140"/>
      <c r="G163" s="141" t="e">
        <f>VLOOKUP(F163,MAESTRO!$G$4:$H$14,2,FALSE)</f>
        <v>#N/A</v>
      </c>
      <c r="H163" s="140"/>
      <c r="I163" s="140"/>
      <c r="J163" s="143"/>
      <c r="K163" s="163"/>
      <c r="L163" s="145">
        <f t="shared" ca="1" si="8"/>
        <v>126</v>
      </c>
      <c r="M163" s="166"/>
      <c r="N163" s="144"/>
      <c r="O163" s="145">
        <f t="shared" si="9"/>
        <v>0</v>
      </c>
      <c r="P163" s="168" t="e">
        <f>IF(N163="PRIMERA",
   VLOOKUP(O163,MAESTRO!M:O,2,FALSE),
   VLOOKUP(O163,MAESTRO!M:O,3,FALSE)
)</f>
        <v>#N/A</v>
      </c>
      <c r="Q163" s="148"/>
      <c r="R163" s="148" t="e">
        <f>VLOOKUP(Q163,MAESTRO!$P$5:$Q$8,2,FALSE)</f>
        <v>#N/A</v>
      </c>
      <c r="S163" s="149" t="str">
        <f t="shared" si="1"/>
        <v>NO ES TITULAR</v>
      </c>
      <c r="T163" s="154" t="str">
        <f t="shared" si="2"/>
        <v>NO ES TITULAR</v>
      </c>
      <c r="U163" s="157"/>
      <c r="V163" s="155"/>
      <c r="W163" s="140"/>
    </row>
    <row r="164" spans="1:23" ht="15.75" customHeight="1">
      <c r="A164" s="148"/>
      <c r="B164" s="148"/>
      <c r="C164" s="158" t="e">
        <f>VLOOKUP(B164,MAESTRO!$D$4:$E$10,2,FALSE)</f>
        <v>#N/A</v>
      </c>
      <c r="D164" s="145" t="e">
        <f t="shared" si="10"/>
        <v>#N/A</v>
      </c>
      <c r="E164" s="160"/>
      <c r="F164" s="140"/>
      <c r="G164" s="141" t="e">
        <f>VLOOKUP(F164,MAESTRO!$G$4:$H$14,2,FALSE)</f>
        <v>#N/A</v>
      </c>
      <c r="H164" s="140"/>
      <c r="I164" s="140"/>
      <c r="J164" s="143"/>
      <c r="K164" s="163"/>
      <c r="L164" s="145">
        <f t="shared" ca="1" si="8"/>
        <v>126</v>
      </c>
      <c r="M164" s="166"/>
      <c r="N164" s="144"/>
      <c r="O164" s="145">
        <f t="shared" si="9"/>
        <v>0</v>
      </c>
      <c r="P164" s="168" t="e">
        <f>IF(N164="PRIMERA",
   VLOOKUP(O164,MAESTRO!M:O,2,FALSE),
   VLOOKUP(O164,MAESTRO!M:O,3,FALSE)
)</f>
        <v>#N/A</v>
      </c>
      <c r="Q164" s="148"/>
      <c r="R164" s="148" t="e">
        <f>VLOOKUP(Q164,MAESTRO!$P$5:$Q$8,2,FALSE)</f>
        <v>#N/A</v>
      </c>
      <c r="S164" s="149" t="str">
        <f t="shared" si="1"/>
        <v>NO ES TITULAR</v>
      </c>
      <c r="T164" s="154" t="str">
        <f t="shared" si="2"/>
        <v>NO ES TITULAR</v>
      </c>
      <c r="U164" s="157"/>
      <c r="V164" s="155"/>
      <c r="W164" s="140"/>
    </row>
    <row r="165" spans="1:23" ht="15.75" customHeight="1">
      <c r="A165" s="148"/>
      <c r="B165" s="148"/>
      <c r="C165" s="158" t="e">
        <f>VLOOKUP(B165,MAESTRO!$D$4:$E$10,2,FALSE)</f>
        <v>#N/A</v>
      </c>
      <c r="D165" s="145" t="e">
        <f t="shared" si="10"/>
        <v>#N/A</v>
      </c>
      <c r="E165" s="160"/>
      <c r="F165" s="140"/>
      <c r="G165" s="141" t="e">
        <f>VLOOKUP(F165,MAESTRO!$G$4:$H$14,2,FALSE)</f>
        <v>#N/A</v>
      </c>
      <c r="H165" s="140"/>
      <c r="I165" s="140"/>
      <c r="J165" s="143"/>
      <c r="K165" s="163"/>
      <c r="L165" s="145">
        <f t="shared" ca="1" si="8"/>
        <v>126</v>
      </c>
      <c r="M165" s="166"/>
      <c r="N165" s="144"/>
      <c r="O165" s="145">
        <f t="shared" si="9"/>
        <v>0</v>
      </c>
      <c r="P165" s="168" t="e">
        <f>IF(N165="PRIMERA",
   VLOOKUP(O165,MAESTRO!M:O,2,FALSE),
   VLOOKUP(O165,MAESTRO!M:O,3,FALSE)
)</f>
        <v>#N/A</v>
      </c>
      <c r="Q165" s="148"/>
      <c r="R165" s="148" t="e">
        <f>VLOOKUP(Q165,MAESTRO!$P$5:$Q$8,2,FALSE)</f>
        <v>#N/A</v>
      </c>
      <c r="S165" s="149" t="str">
        <f t="shared" si="1"/>
        <v>NO ES TITULAR</v>
      </c>
      <c r="T165" s="154" t="str">
        <f t="shared" si="2"/>
        <v>NO ES TITULAR</v>
      </c>
      <c r="U165" s="157"/>
      <c r="V165" s="155"/>
      <c r="W165" s="140"/>
    </row>
    <row r="166" spans="1:23" ht="15.75" customHeight="1">
      <c r="A166" s="148"/>
      <c r="B166" s="148"/>
      <c r="C166" s="158" t="e">
        <f>VLOOKUP(B166,MAESTRO!$D$4:$E$10,2,FALSE)</f>
        <v>#N/A</v>
      </c>
      <c r="D166" s="145" t="e">
        <f t="shared" si="10"/>
        <v>#N/A</v>
      </c>
      <c r="E166" s="160"/>
      <c r="F166" s="140"/>
      <c r="G166" s="141" t="e">
        <f>VLOOKUP(F166,MAESTRO!$G$4:$H$14,2,FALSE)</f>
        <v>#N/A</v>
      </c>
      <c r="H166" s="140"/>
      <c r="I166" s="140"/>
      <c r="J166" s="143"/>
      <c r="K166" s="163"/>
      <c r="L166" s="145">
        <f t="shared" ca="1" si="8"/>
        <v>126</v>
      </c>
      <c r="M166" s="166"/>
      <c r="N166" s="144"/>
      <c r="O166" s="145">
        <f t="shared" si="9"/>
        <v>0</v>
      </c>
      <c r="P166" s="168" t="e">
        <f>IF(N166="PRIMERA",
   VLOOKUP(O166,MAESTRO!M:O,2,FALSE),
   VLOOKUP(O166,MAESTRO!M:O,3,FALSE)
)</f>
        <v>#N/A</v>
      </c>
      <c r="Q166" s="148"/>
      <c r="R166" s="148" t="e">
        <f>VLOOKUP(Q166,MAESTRO!$P$5:$Q$8,2,FALSE)</f>
        <v>#N/A</v>
      </c>
      <c r="S166" s="149" t="str">
        <f t="shared" si="1"/>
        <v>NO ES TITULAR</v>
      </c>
      <c r="T166" s="154" t="str">
        <f t="shared" si="2"/>
        <v>NO ES TITULAR</v>
      </c>
      <c r="U166" s="157"/>
      <c r="V166" s="155"/>
      <c r="W166" s="140"/>
    </row>
    <row r="167" spans="1:23" ht="15.75" customHeight="1">
      <c r="A167" s="148"/>
      <c r="B167" s="148"/>
      <c r="C167" s="158" t="e">
        <f>VLOOKUP(B167,MAESTRO!$D$4:$E$10,2,FALSE)</f>
        <v>#N/A</v>
      </c>
      <c r="D167" s="145" t="e">
        <f t="shared" si="10"/>
        <v>#N/A</v>
      </c>
      <c r="E167" s="160"/>
      <c r="F167" s="140"/>
      <c r="G167" s="141" t="e">
        <f>VLOOKUP(F167,MAESTRO!$G$4:$H$14,2,FALSE)</f>
        <v>#N/A</v>
      </c>
      <c r="H167" s="140"/>
      <c r="I167" s="140"/>
      <c r="J167" s="143"/>
      <c r="K167" s="163"/>
      <c r="L167" s="145">
        <f t="shared" ca="1" si="8"/>
        <v>126</v>
      </c>
      <c r="M167" s="166"/>
      <c r="N167" s="144"/>
      <c r="O167" s="145">
        <f t="shared" si="9"/>
        <v>0</v>
      </c>
      <c r="P167" s="168" t="e">
        <f>IF(N167="PRIMERA",
   VLOOKUP(O167,MAESTRO!M:O,2,FALSE),
   VLOOKUP(O167,MAESTRO!M:O,3,FALSE)
)</f>
        <v>#N/A</v>
      </c>
      <c r="Q167" s="148"/>
      <c r="R167" s="148" t="e">
        <f>VLOOKUP(Q167,MAESTRO!$P$5:$Q$8,2,FALSE)</f>
        <v>#N/A</v>
      </c>
      <c r="S167" s="149" t="str">
        <f t="shared" si="1"/>
        <v>NO ES TITULAR</v>
      </c>
      <c r="T167" s="154" t="str">
        <f t="shared" si="2"/>
        <v>NO ES TITULAR</v>
      </c>
      <c r="U167" s="157"/>
      <c r="V167" s="155"/>
      <c r="W167" s="140"/>
    </row>
    <row r="168" spans="1:23" ht="15.75" customHeight="1">
      <c r="A168" s="148"/>
      <c r="B168" s="148"/>
      <c r="C168" s="158" t="e">
        <f>VLOOKUP(B168,MAESTRO!$D$4:$E$10,2,FALSE)</f>
        <v>#N/A</v>
      </c>
      <c r="D168" s="145" t="e">
        <f t="shared" si="10"/>
        <v>#N/A</v>
      </c>
      <c r="E168" s="160"/>
      <c r="F168" s="140"/>
      <c r="G168" s="141" t="e">
        <f>VLOOKUP(F168,MAESTRO!$G$4:$H$14,2,FALSE)</f>
        <v>#N/A</v>
      </c>
      <c r="H168" s="140"/>
      <c r="I168" s="140"/>
      <c r="J168" s="143"/>
      <c r="K168" s="163"/>
      <c r="L168" s="145">
        <f t="shared" ca="1" si="8"/>
        <v>126</v>
      </c>
      <c r="M168" s="166"/>
      <c r="N168" s="144"/>
      <c r="O168" s="145">
        <f t="shared" si="9"/>
        <v>0</v>
      </c>
      <c r="P168" s="168" t="e">
        <f>IF(N168="PRIMERA",
   VLOOKUP(O168,MAESTRO!M:O,2,FALSE),
   VLOOKUP(O168,MAESTRO!M:O,3,FALSE)
)</f>
        <v>#N/A</v>
      </c>
      <c r="Q168" s="148"/>
      <c r="R168" s="148" t="e">
        <f>VLOOKUP(Q168,MAESTRO!$P$5:$Q$8,2,FALSE)</f>
        <v>#N/A</v>
      </c>
      <c r="S168" s="149" t="str">
        <f t="shared" si="1"/>
        <v>NO ES TITULAR</v>
      </c>
      <c r="T168" s="154" t="str">
        <f t="shared" si="2"/>
        <v>NO ES TITULAR</v>
      </c>
      <c r="U168" s="157"/>
      <c r="V168" s="155"/>
      <c r="W168" s="140"/>
    </row>
    <row r="169" spans="1:23" ht="15.75" customHeight="1">
      <c r="A169" s="148"/>
      <c r="B169" s="148"/>
      <c r="C169" s="158" t="e">
        <f>VLOOKUP(B169,MAESTRO!$D$4:$E$10,2,FALSE)</f>
        <v>#N/A</v>
      </c>
      <c r="D169" s="145" t="e">
        <f t="shared" si="10"/>
        <v>#N/A</v>
      </c>
      <c r="E169" s="160"/>
      <c r="F169" s="140"/>
      <c r="G169" s="141" t="e">
        <f>VLOOKUP(F169,MAESTRO!$G$4:$H$14,2,FALSE)</f>
        <v>#N/A</v>
      </c>
      <c r="H169" s="140"/>
      <c r="I169" s="140"/>
      <c r="J169" s="143"/>
      <c r="K169" s="163"/>
      <c r="L169" s="145">
        <f t="shared" ca="1" si="8"/>
        <v>126</v>
      </c>
      <c r="M169" s="166"/>
      <c r="N169" s="144"/>
      <c r="O169" s="145">
        <f t="shared" si="9"/>
        <v>0</v>
      </c>
      <c r="P169" s="168" t="e">
        <f>IF(N169="PRIMERA",
   VLOOKUP(O169,MAESTRO!M:O,2,FALSE),
   VLOOKUP(O169,MAESTRO!M:O,3,FALSE)
)</f>
        <v>#N/A</v>
      </c>
      <c r="Q169" s="148"/>
      <c r="R169" s="148" t="e">
        <f>VLOOKUP(Q169,MAESTRO!$P$5:$Q$8,2,FALSE)</f>
        <v>#N/A</v>
      </c>
      <c r="S169" s="149" t="str">
        <f t="shared" si="1"/>
        <v>NO ES TITULAR</v>
      </c>
      <c r="T169" s="154" t="str">
        <f t="shared" si="2"/>
        <v>NO ES TITULAR</v>
      </c>
      <c r="U169" s="157"/>
      <c r="V169" s="155"/>
      <c r="W169" s="140"/>
    </row>
    <row r="170" spans="1:23" ht="15.75" customHeight="1">
      <c r="A170" s="148"/>
      <c r="B170" s="148"/>
      <c r="C170" s="158" t="e">
        <f>VLOOKUP(B170,MAESTRO!$D$4:$E$10,2,FALSE)</f>
        <v>#N/A</v>
      </c>
      <c r="D170" s="145" t="e">
        <f t="shared" si="10"/>
        <v>#N/A</v>
      </c>
      <c r="E170" s="160"/>
      <c r="F170" s="140"/>
      <c r="G170" s="141" t="e">
        <f>VLOOKUP(F170,MAESTRO!$G$4:$H$14,2,FALSE)</f>
        <v>#N/A</v>
      </c>
      <c r="H170" s="140"/>
      <c r="I170" s="140"/>
      <c r="J170" s="143"/>
      <c r="K170" s="163"/>
      <c r="L170" s="145">
        <f t="shared" ca="1" si="8"/>
        <v>126</v>
      </c>
      <c r="M170" s="166"/>
      <c r="N170" s="144"/>
      <c r="O170" s="145">
        <f t="shared" si="9"/>
        <v>0</v>
      </c>
      <c r="P170" s="168" t="e">
        <f>IF(N170="PRIMERA",
   VLOOKUP(O170,MAESTRO!M:O,2,FALSE),
   VLOOKUP(O170,MAESTRO!M:O,3,FALSE)
)</f>
        <v>#N/A</v>
      </c>
      <c r="Q170" s="148"/>
      <c r="R170" s="148" t="e">
        <f>VLOOKUP(Q170,MAESTRO!$P$5:$Q$8,2,FALSE)</f>
        <v>#N/A</v>
      </c>
      <c r="S170" s="149" t="str">
        <f t="shared" si="1"/>
        <v>NO ES TITULAR</v>
      </c>
      <c r="T170" s="154" t="str">
        <f t="shared" si="2"/>
        <v>NO ES TITULAR</v>
      </c>
      <c r="U170" s="157"/>
      <c r="V170" s="155"/>
      <c r="W170" s="140"/>
    </row>
    <row r="171" spans="1:23" ht="15.75" customHeight="1">
      <c r="A171" s="148"/>
      <c r="B171" s="148"/>
      <c r="C171" s="158" t="e">
        <f>VLOOKUP(B171,MAESTRO!$D$4:$E$10,2,FALSE)</f>
        <v>#N/A</v>
      </c>
      <c r="D171" s="145" t="e">
        <f t="shared" si="10"/>
        <v>#N/A</v>
      </c>
      <c r="E171" s="160"/>
      <c r="F171" s="140"/>
      <c r="G171" s="141" t="e">
        <f>VLOOKUP(F171,MAESTRO!$G$4:$H$14,2,FALSE)</f>
        <v>#N/A</v>
      </c>
      <c r="H171" s="140"/>
      <c r="I171" s="140"/>
      <c r="J171" s="143"/>
      <c r="K171" s="163"/>
      <c r="L171" s="145">
        <f t="shared" ca="1" si="8"/>
        <v>126</v>
      </c>
      <c r="M171" s="166"/>
      <c r="N171" s="144"/>
      <c r="O171" s="145">
        <f t="shared" si="9"/>
        <v>0</v>
      </c>
      <c r="P171" s="168" t="e">
        <f>IF(N171="PRIMERA",
   VLOOKUP(O171,MAESTRO!M:O,2,FALSE),
   VLOOKUP(O171,MAESTRO!M:O,3,FALSE)
)</f>
        <v>#N/A</v>
      </c>
      <c r="Q171" s="148"/>
      <c r="R171" s="148" t="e">
        <f>VLOOKUP(Q171,MAESTRO!$P$5:$Q$8,2,FALSE)</f>
        <v>#N/A</v>
      </c>
      <c r="S171" s="149" t="str">
        <f t="shared" si="1"/>
        <v>NO ES TITULAR</v>
      </c>
      <c r="T171" s="154" t="str">
        <f t="shared" si="2"/>
        <v>NO ES TITULAR</v>
      </c>
      <c r="U171" s="157"/>
      <c r="V171" s="155"/>
      <c r="W171" s="140"/>
    </row>
    <row r="172" spans="1:23" ht="15.75" customHeight="1">
      <c r="A172" s="148"/>
      <c r="B172" s="148"/>
      <c r="C172" s="158" t="e">
        <f>VLOOKUP(B172,MAESTRO!$D$4:$E$10,2,FALSE)</f>
        <v>#N/A</v>
      </c>
      <c r="D172" s="145" t="e">
        <f t="shared" si="10"/>
        <v>#N/A</v>
      </c>
      <c r="E172" s="160"/>
      <c r="F172" s="140"/>
      <c r="G172" s="141" t="e">
        <f>VLOOKUP(F172,MAESTRO!$G$4:$H$14,2,FALSE)</f>
        <v>#N/A</v>
      </c>
      <c r="H172" s="140"/>
      <c r="I172" s="140"/>
      <c r="J172" s="143"/>
      <c r="K172" s="163"/>
      <c r="L172" s="145">
        <f t="shared" ca="1" si="8"/>
        <v>126</v>
      </c>
      <c r="M172" s="166"/>
      <c r="N172" s="144"/>
      <c r="O172" s="145">
        <f t="shared" si="9"/>
        <v>0</v>
      </c>
      <c r="P172" s="168" t="e">
        <f>IF(N172="PRIMERA",
   VLOOKUP(O172,MAESTRO!M:O,2,FALSE),
   VLOOKUP(O172,MAESTRO!M:O,3,FALSE)
)</f>
        <v>#N/A</v>
      </c>
      <c r="Q172" s="148"/>
      <c r="R172" s="148" t="e">
        <f>VLOOKUP(Q172,MAESTRO!$P$5:$Q$8,2,FALSE)</f>
        <v>#N/A</v>
      </c>
      <c r="S172" s="149" t="str">
        <f t="shared" si="1"/>
        <v>NO ES TITULAR</v>
      </c>
      <c r="T172" s="154" t="str">
        <f t="shared" si="2"/>
        <v>NO ES TITULAR</v>
      </c>
      <c r="U172" s="157"/>
      <c r="V172" s="155"/>
      <c r="W172" s="140"/>
    </row>
    <row r="173" spans="1:23" ht="15.75" customHeight="1">
      <c r="A173" s="148"/>
      <c r="B173" s="148"/>
      <c r="C173" s="158" t="e">
        <f>VLOOKUP(B173,MAESTRO!$D$4:$E$10,2,FALSE)</f>
        <v>#N/A</v>
      </c>
      <c r="D173" s="145" t="e">
        <f t="shared" si="10"/>
        <v>#N/A</v>
      </c>
      <c r="E173" s="160"/>
      <c r="F173" s="140"/>
      <c r="G173" s="141" t="e">
        <f>VLOOKUP(F173,MAESTRO!$G$4:$H$14,2,FALSE)</f>
        <v>#N/A</v>
      </c>
      <c r="H173" s="140"/>
      <c r="I173" s="140"/>
      <c r="J173" s="143"/>
      <c r="K173" s="163"/>
      <c r="L173" s="145">
        <f t="shared" ca="1" si="8"/>
        <v>126</v>
      </c>
      <c r="M173" s="166"/>
      <c r="N173" s="144"/>
      <c r="O173" s="145">
        <f t="shared" si="9"/>
        <v>0</v>
      </c>
      <c r="P173" s="168" t="e">
        <f>IF(N173="PRIMERA",
   VLOOKUP(O173,MAESTRO!M:O,2,FALSE),
   VLOOKUP(O173,MAESTRO!M:O,3,FALSE)
)</f>
        <v>#N/A</v>
      </c>
      <c r="Q173" s="148"/>
      <c r="R173" s="148" t="e">
        <f>VLOOKUP(Q173,MAESTRO!$P$5:$Q$8,2,FALSE)</f>
        <v>#N/A</v>
      </c>
      <c r="S173" s="149" t="str">
        <f t="shared" si="1"/>
        <v>NO ES TITULAR</v>
      </c>
      <c r="T173" s="154" t="str">
        <f t="shared" si="2"/>
        <v>NO ES TITULAR</v>
      </c>
      <c r="U173" s="157"/>
      <c r="V173" s="155"/>
      <c r="W173" s="140"/>
    </row>
    <row r="174" spans="1:23" ht="15.75" customHeight="1">
      <c r="A174" s="148"/>
      <c r="B174" s="148"/>
      <c r="C174" s="158" t="e">
        <f>VLOOKUP(B174,MAESTRO!$D$4:$E$10,2,FALSE)</f>
        <v>#N/A</v>
      </c>
      <c r="D174" s="145" t="e">
        <f t="shared" si="10"/>
        <v>#N/A</v>
      </c>
      <c r="E174" s="160"/>
      <c r="F174" s="140"/>
      <c r="G174" s="141" t="e">
        <f>VLOOKUP(F174,MAESTRO!$G$4:$H$14,2,FALSE)</f>
        <v>#N/A</v>
      </c>
      <c r="H174" s="140"/>
      <c r="I174" s="140"/>
      <c r="J174" s="143"/>
      <c r="K174" s="163"/>
      <c r="L174" s="145">
        <f t="shared" ca="1" si="8"/>
        <v>126</v>
      </c>
      <c r="M174" s="166"/>
      <c r="N174" s="144"/>
      <c r="O174" s="145">
        <f t="shared" si="9"/>
        <v>0</v>
      </c>
      <c r="P174" s="168" t="e">
        <f>IF(N174="PRIMERA",
   VLOOKUP(O174,MAESTRO!M:O,2,FALSE),
   VLOOKUP(O174,MAESTRO!M:O,3,FALSE)
)</f>
        <v>#N/A</v>
      </c>
      <c r="Q174" s="148"/>
      <c r="R174" s="148" t="e">
        <f>VLOOKUP(Q174,MAESTRO!$P$5:$Q$8,2,FALSE)</f>
        <v>#N/A</v>
      </c>
      <c r="S174" s="149" t="str">
        <f t="shared" si="1"/>
        <v>NO ES TITULAR</v>
      </c>
      <c r="T174" s="154" t="str">
        <f t="shared" si="2"/>
        <v>NO ES TITULAR</v>
      </c>
      <c r="U174" s="157"/>
      <c r="V174" s="155"/>
      <c r="W174" s="140"/>
    </row>
    <row r="175" spans="1:23" ht="15.75" customHeight="1">
      <c r="A175" s="148"/>
      <c r="B175" s="148"/>
      <c r="C175" s="158" t="e">
        <f>VLOOKUP(B175,MAESTRO!$D$4:$E$10,2,FALSE)</f>
        <v>#N/A</v>
      </c>
      <c r="D175" s="145" t="e">
        <f t="shared" si="10"/>
        <v>#N/A</v>
      </c>
      <c r="E175" s="160"/>
      <c r="F175" s="140"/>
      <c r="G175" s="141" t="e">
        <f>VLOOKUP(F175,MAESTRO!$G$4:$H$14,2,FALSE)</f>
        <v>#N/A</v>
      </c>
      <c r="H175" s="140"/>
      <c r="I175" s="140"/>
      <c r="J175" s="143"/>
      <c r="K175" s="163"/>
      <c r="L175" s="145">
        <f t="shared" ca="1" si="8"/>
        <v>126</v>
      </c>
      <c r="M175" s="166"/>
      <c r="N175" s="144"/>
      <c r="O175" s="145">
        <f t="shared" si="9"/>
        <v>0</v>
      </c>
      <c r="P175" s="168" t="e">
        <f>IF(N175="PRIMERA",
   VLOOKUP(O175,MAESTRO!M:O,2,FALSE),
   VLOOKUP(O175,MAESTRO!M:O,3,FALSE)
)</f>
        <v>#N/A</v>
      </c>
      <c r="Q175" s="148"/>
      <c r="R175" s="148" t="e">
        <f>VLOOKUP(Q175,MAESTRO!$P$5:$Q$8,2,FALSE)</f>
        <v>#N/A</v>
      </c>
      <c r="S175" s="149" t="str">
        <f t="shared" si="1"/>
        <v>NO ES TITULAR</v>
      </c>
      <c r="T175" s="154" t="str">
        <f t="shared" si="2"/>
        <v>NO ES TITULAR</v>
      </c>
      <c r="U175" s="157"/>
      <c r="V175" s="155"/>
      <c r="W175" s="140"/>
    </row>
    <row r="176" spans="1:23" ht="15.75" customHeight="1">
      <c r="A176" s="148"/>
      <c r="B176" s="148"/>
      <c r="C176" s="158" t="e">
        <f>VLOOKUP(B176,MAESTRO!$D$4:$E$10,2,FALSE)</f>
        <v>#N/A</v>
      </c>
      <c r="D176" s="145" t="e">
        <f t="shared" si="10"/>
        <v>#N/A</v>
      </c>
      <c r="E176" s="160"/>
      <c r="F176" s="140"/>
      <c r="G176" s="141" t="e">
        <f>VLOOKUP(F176,MAESTRO!$G$4:$H$14,2,FALSE)</f>
        <v>#N/A</v>
      </c>
      <c r="H176" s="140"/>
      <c r="I176" s="140"/>
      <c r="J176" s="143"/>
      <c r="K176" s="163"/>
      <c r="L176" s="145">
        <f t="shared" ca="1" si="8"/>
        <v>126</v>
      </c>
      <c r="M176" s="166"/>
      <c r="N176" s="144"/>
      <c r="O176" s="145">
        <f t="shared" si="9"/>
        <v>0</v>
      </c>
      <c r="P176" s="168" t="e">
        <f>IF(N176="PRIMERA",
   VLOOKUP(O176,MAESTRO!M:O,2,FALSE),
   VLOOKUP(O176,MAESTRO!M:O,3,FALSE)
)</f>
        <v>#N/A</v>
      </c>
      <c r="Q176" s="148"/>
      <c r="R176" s="148" t="e">
        <f>VLOOKUP(Q176,MAESTRO!$P$5:$Q$8,2,FALSE)</f>
        <v>#N/A</v>
      </c>
      <c r="S176" s="149" t="str">
        <f t="shared" si="1"/>
        <v>NO ES TITULAR</v>
      </c>
      <c r="T176" s="154" t="str">
        <f t="shared" si="2"/>
        <v>NO ES TITULAR</v>
      </c>
      <c r="U176" s="157"/>
      <c r="V176" s="155"/>
      <c r="W176" s="140"/>
    </row>
    <row r="177" spans="1:23" ht="15.75" customHeight="1">
      <c r="A177" s="148"/>
      <c r="B177" s="148"/>
      <c r="C177" s="158" t="e">
        <f>VLOOKUP(B177,MAESTRO!$D$4:$E$10,2,FALSE)</f>
        <v>#N/A</v>
      </c>
      <c r="D177" s="145" t="e">
        <f t="shared" si="10"/>
        <v>#N/A</v>
      </c>
      <c r="E177" s="160"/>
      <c r="F177" s="140"/>
      <c r="G177" s="141" t="e">
        <f>VLOOKUP(F177,MAESTRO!$G$4:$H$14,2,FALSE)</f>
        <v>#N/A</v>
      </c>
      <c r="H177" s="140"/>
      <c r="I177" s="140"/>
      <c r="J177" s="143"/>
      <c r="K177" s="163"/>
      <c r="L177" s="145">
        <f t="shared" ca="1" si="8"/>
        <v>126</v>
      </c>
      <c r="M177" s="166"/>
      <c r="N177" s="144"/>
      <c r="O177" s="145">
        <f t="shared" si="9"/>
        <v>0</v>
      </c>
      <c r="P177" s="168" t="e">
        <f>IF(N177="PRIMERA",
   VLOOKUP(O177,MAESTRO!M:O,2,FALSE),
   VLOOKUP(O177,MAESTRO!M:O,3,FALSE)
)</f>
        <v>#N/A</v>
      </c>
      <c r="Q177" s="148"/>
      <c r="R177" s="148" t="e">
        <f>VLOOKUP(Q177,MAESTRO!$P$5:$Q$8,2,FALSE)</f>
        <v>#N/A</v>
      </c>
      <c r="S177" s="149" t="str">
        <f t="shared" si="1"/>
        <v>NO ES TITULAR</v>
      </c>
      <c r="T177" s="154" t="str">
        <f t="shared" si="2"/>
        <v>NO ES TITULAR</v>
      </c>
      <c r="U177" s="157"/>
      <c r="V177" s="155"/>
      <c r="W177" s="140"/>
    </row>
    <row r="178" spans="1:23" ht="15.75" customHeight="1">
      <c r="A178" s="148"/>
      <c r="B178" s="148"/>
      <c r="C178" s="158" t="e">
        <f>VLOOKUP(B178,MAESTRO!$D$4:$E$10,2,FALSE)</f>
        <v>#N/A</v>
      </c>
      <c r="D178" s="145" t="e">
        <f t="shared" si="10"/>
        <v>#N/A</v>
      </c>
      <c r="E178" s="160"/>
      <c r="F178" s="140"/>
      <c r="G178" s="141" t="e">
        <f>VLOOKUP(F178,MAESTRO!$G$4:$H$14,2,FALSE)</f>
        <v>#N/A</v>
      </c>
      <c r="H178" s="140"/>
      <c r="I178" s="140"/>
      <c r="J178" s="143"/>
      <c r="K178" s="163"/>
      <c r="L178" s="145">
        <f t="shared" ca="1" si="8"/>
        <v>126</v>
      </c>
      <c r="M178" s="166"/>
      <c r="N178" s="144"/>
      <c r="O178" s="145">
        <f t="shared" si="9"/>
        <v>0</v>
      </c>
      <c r="P178" s="168" t="e">
        <f>IF(N178="PRIMERA",
   VLOOKUP(O178,MAESTRO!M:O,2,FALSE),
   VLOOKUP(O178,MAESTRO!M:O,3,FALSE)
)</f>
        <v>#N/A</v>
      </c>
      <c r="Q178" s="148"/>
      <c r="R178" s="148" t="e">
        <f>VLOOKUP(Q178,MAESTRO!$P$5:$Q$8,2,FALSE)</f>
        <v>#N/A</v>
      </c>
      <c r="S178" s="149" t="str">
        <f t="shared" si="1"/>
        <v>NO ES TITULAR</v>
      </c>
      <c r="T178" s="154" t="str">
        <f t="shared" si="2"/>
        <v>NO ES TITULAR</v>
      </c>
      <c r="U178" s="157"/>
      <c r="V178" s="155"/>
      <c r="W178" s="140"/>
    </row>
    <row r="179" spans="1:23" ht="15.75" customHeight="1">
      <c r="A179" s="148"/>
      <c r="B179" s="148"/>
      <c r="C179" s="158" t="e">
        <f>VLOOKUP(B179,MAESTRO!$D$4:$E$10,2,FALSE)</f>
        <v>#N/A</v>
      </c>
      <c r="D179" s="145" t="e">
        <f t="shared" si="10"/>
        <v>#N/A</v>
      </c>
      <c r="E179" s="160"/>
      <c r="F179" s="140"/>
      <c r="G179" s="141" t="e">
        <f>VLOOKUP(F179,MAESTRO!$G$4:$H$14,2,FALSE)</f>
        <v>#N/A</v>
      </c>
      <c r="H179" s="140"/>
      <c r="I179" s="140"/>
      <c r="J179" s="143"/>
      <c r="K179" s="163"/>
      <c r="L179" s="145">
        <f t="shared" ca="1" si="8"/>
        <v>126</v>
      </c>
      <c r="M179" s="166"/>
      <c r="N179" s="144"/>
      <c r="O179" s="145">
        <f t="shared" si="9"/>
        <v>0</v>
      </c>
      <c r="P179" s="168" t="e">
        <f>IF(N179="PRIMERA",
   VLOOKUP(O179,MAESTRO!M:O,2,FALSE),
   VLOOKUP(O179,MAESTRO!M:O,3,FALSE)
)</f>
        <v>#N/A</v>
      </c>
      <c r="Q179" s="148"/>
      <c r="R179" s="148" t="e">
        <f>VLOOKUP(Q179,MAESTRO!$P$5:$Q$8,2,FALSE)</f>
        <v>#N/A</v>
      </c>
      <c r="S179" s="149" t="str">
        <f t="shared" si="1"/>
        <v>NO ES TITULAR</v>
      </c>
      <c r="T179" s="154" t="str">
        <f t="shared" si="2"/>
        <v>NO ES TITULAR</v>
      </c>
      <c r="U179" s="157"/>
      <c r="V179" s="155"/>
      <c r="W179" s="140"/>
    </row>
    <row r="180" spans="1:23" ht="15.75" customHeight="1">
      <c r="A180" s="148"/>
      <c r="B180" s="148"/>
      <c r="C180" s="158" t="e">
        <f>VLOOKUP(B180,MAESTRO!$D$4:$E$10,2,FALSE)</f>
        <v>#N/A</v>
      </c>
      <c r="D180" s="145" t="e">
        <f t="shared" si="10"/>
        <v>#N/A</v>
      </c>
      <c r="E180" s="160"/>
      <c r="F180" s="140"/>
      <c r="G180" s="141" t="e">
        <f>VLOOKUP(F180,MAESTRO!$G$4:$H$14,2,FALSE)</f>
        <v>#N/A</v>
      </c>
      <c r="H180" s="140"/>
      <c r="I180" s="140"/>
      <c r="J180" s="143"/>
      <c r="K180" s="163"/>
      <c r="L180" s="145">
        <f t="shared" ca="1" si="8"/>
        <v>126</v>
      </c>
      <c r="M180" s="166"/>
      <c r="N180" s="144"/>
      <c r="O180" s="145">
        <f t="shared" si="9"/>
        <v>0</v>
      </c>
      <c r="P180" s="168" t="e">
        <f>IF(N180="PRIMERA",
   VLOOKUP(O180,MAESTRO!M:O,2,FALSE),
   VLOOKUP(O180,MAESTRO!M:O,3,FALSE)
)</f>
        <v>#N/A</v>
      </c>
      <c r="Q180" s="148"/>
      <c r="R180" s="148" t="e">
        <f>VLOOKUP(Q180,MAESTRO!$P$5:$Q$8,2,FALSE)</f>
        <v>#N/A</v>
      </c>
      <c r="S180" s="149" t="str">
        <f t="shared" si="1"/>
        <v>NO ES TITULAR</v>
      </c>
      <c r="T180" s="154" t="str">
        <f t="shared" si="2"/>
        <v>NO ES TITULAR</v>
      </c>
      <c r="U180" s="157"/>
      <c r="V180" s="155"/>
      <c r="W180" s="140"/>
    </row>
    <row r="181" spans="1:23" ht="15.75" customHeight="1">
      <c r="A181" s="148"/>
      <c r="B181" s="148"/>
      <c r="C181" s="158" t="e">
        <f>VLOOKUP(B181,MAESTRO!$D$4:$E$10,2,FALSE)</f>
        <v>#N/A</v>
      </c>
      <c r="D181" s="145" t="e">
        <f t="shared" si="10"/>
        <v>#N/A</v>
      </c>
      <c r="E181" s="160"/>
      <c r="F181" s="140"/>
      <c r="G181" s="141" t="e">
        <f>VLOOKUP(F181,MAESTRO!$G$4:$H$14,2,FALSE)</f>
        <v>#N/A</v>
      </c>
      <c r="H181" s="140"/>
      <c r="I181" s="140"/>
      <c r="J181" s="143"/>
      <c r="K181" s="163"/>
      <c r="L181" s="145">
        <f t="shared" ca="1" si="8"/>
        <v>126</v>
      </c>
      <c r="M181" s="166"/>
      <c r="N181" s="144"/>
      <c r="O181" s="145">
        <f t="shared" si="9"/>
        <v>0</v>
      </c>
      <c r="P181" s="168" t="e">
        <f>IF(N181="PRIMERA",
   VLOOKUP(O181,MAESTRO!M:O,2,FALSE),
   VLOOKUP(O181,MAESTRO!M:O,3,FALSE)
)</f>
        <v>#N/A</v>
      </c>
      <c r="Q181" s="148"/>
      <c r="R181" s="148" t="e">
        <f>VLOOKUP(Q181,MAESTRO!$P$5:$Q$8,2,FALSE)</f>
        <v>#N/A</v>
      </c>
      <c r="S181" s="149" t="str">
        <f t="shared" si="1"/>
        <v>NO ES TITULAR</v>
      </c>
      <c r="T181" s="154" t="str">
        <f t="shared" si="2"/>
        <v>NO ES TITULAR</v>
      </c>
      <c r="U181" s="157"/>
      <c r="V181" s="155"/>
      <c r="W181" s="140"/>
    </row>
    <row r="182" spans="1:23" ht="15.75" customHeight="1">
      <c r="A182" s="148"/>
      <c r="B182" s="148"/>
      <c r="C182" s="158" t="e">
        <f>VLOOKUP(B182,MAESTRO!$D$4:$E$10,2,FALSE)</f>
        <v>#N/A</v>
      </c>
      <c r="D182" s="145" t="e">
        <f t="shared" si="10"/>
        <v>#N/A</v>
      </c>
      <c r="E182" s="160"/>
      <c r="F182" s="140"/>
      <c r="G182" s="141" t="e">
        <f>VLOOKUP(F182,MAESTRO!$G$4:$H$14,2,FALSE)</f>
        <v>#N/A</v>
      </c>
      <c r="H182" s="140"/>
      <c r="I182" s="140"/>
      <c r="J182" s="143"/>
      <c r="K182" s="163"/>
      <c r="L182" s="145">
        <f t="shared" ca="1" si="8"/>
        <v>126</v>
      </c>
      <c r="M182" s="166"/>
      <c r="N182" s="144"/>
      <c r="O182" s="145">
        <f t="shared" si="9"/>
        <v>0</v>
      </c>
      <c r="P182" s="168" t="e">
        <f>IF(N182="PRIMERA",
   VLOOKUP(O182,MAESTRO!M:O,2,FALSE),
   VLOOKUP(O182,MAESTRO!M:O,3,FALSE)
)</f>
        <v>#N/A</v>
      </c>
      <c r="Q182" s="148"/>
      <c r="R182" s="148" t="e">
        <f>VLOOKUP(Q182,MAESTRO!$P$5:$Q$8,2,FALSE)</f>
        <v>#N/A</v>
      </c>
      <c r="S182" s="149" t="str">
        <f t="shared" si="1"/>
        <v>NO ES TITULAR</v>
      </c>
      <c r="T182" s="154" t="str">
        <f t="shared" si="2"/>
        <v>NO ES TITULAR</v>
      </c>
      <c r="U182" s="157"/>
      <c r="V182" s="155"/>
      <c r="W182" s="140"/>
    </row>
    <row r="183" spans="1:23" ht="15.75" customHeight="1">
      <c r="A183" s="148"/>
      <c r="B183" s="148"/>
      <c r="C183" s="158" t="e">
        <f>VLOOKUP(B183,MAESTRO!$D$4:$E$10,2,FALSE)</f>
        <v>#N/A</v>
      </c>
      <c r="D183" s="145" t="e">
        <f t="shared" si="10"/>
        <v>#N/A</v>
      </c>
      <c r="E183" s="160"/>
      <c r="F183" s="140"/>
      <c r="G183" s="141" t="e">
        <f>VLOOKUP(F183,MAESTRO!$G$4:$H$14,2,FALSE)</f>
        <v>#N/A</v>
      </c>
      <c r="H183" s="140"/>
      <c r="I183" s="140"/>
      <c r="J183" s="143"/>
      <c r="K183" s="163"/>
      <c r="L183" s="145">
        <f t="shared" ca="1" si="8"/>
        <v>126</v>
      </c>
      <c r="M183" s="166"/>
      <c r="N183" s="144"/>
      <c r="O183" s="145">
        <f t="shared" si="9"/>
        <v>0</v>
      </c>
      <c r="P183" s="168" t="e">
        <f>IF(N183="PRIMERA",
   VLOOKUP(O183,MAESTRO!M:O,2,FALSE),
   VLOOKUP(O183,MAESTRO!M:O,3,FALSE)
)</f>
        <v>#N/A</v>
      </c>
      <c r="Q183" s="148"/>
      <c r="R183" s="148" t="e">
        <f>VLOOKUP(Q183,MAESTRO!$P$5:$Q$8,2,FALSE)</f>
        <v>#N/A</v>
      </c>
      <c r="S183" s="149" t="str">
        <f t="shared" si="1"/>
        <v>NO ES TITULAR</v>
      </c>
      <c r="T183" s="154" t="str">
        <f t="shared" si="2"/>
        <v>NO ES TITULAR</v>
      </c>
      <c r="U183" s="157"/>
      <c r="V183" s="155"/>
      <c r="W183" s="140"/>
    </row>
    <row r="184" spans="1:23" ht="15.75" customHeight="1">
      <c r="A184" s="148"/>
      <c r="B184" s="148"/>
      <c r="C184" s="158" t="e">
        <f>VLOOKUP(B184,MAESTRO!$D$4:$E$10,2,FALSE)</f>
        <v>#N/A</v>
      </c>
      <c r="D184" s="145" t="e">
        <f t="shared" si="10"/>
        <v>#N/A</v>
      </c>
      <c r="E184" s="160"/>
      <c r="F184" s="140"/>
      <c r="G184" s="141" t="e">
        <f>VLOOKUP(F184,MAESTRO!$G$4:$H$14,2,FALSE)</f>
        <v>#N/A</v>
      </c>
      <c r="H184" s="140"/>
      <c r="I184" s="140"/>
      <c r="J184" s="143"/>
      <c r="K184" s="163"/>
      <c r="L184" s="145">
        <f t="shared" ca="1" si="8"/>
        <v>126</v>
      </c>
      <c r="M184" s="166"/>
      <c r="N184" s="144"/>
      <c r="O184" s="145">
        <f t="shared" si="9"/>
        <v>0</v>
      </c>
      <c r="P184" s="168" t="e">
        <f>IF(N184="PRIMERA",
   VLOOKUP(O184,MAESTRO!M:O,2,FALSE),
   VLOOKUP(O184,MAESTRO!M:O,3,FALSE)
)</f>
        <v>#N/A</v>
      </c>
      <c r="Q184" s="148"/>
      <c r="R184" s="148" t="e">
        <f>VLOOKUP(Q184,MAESTRO!$P$5:$Q$8,2,FALSE)</f>
        <v>#N/A</v>
      </c>
      <c r="S184" s="149" t="str">
        <f t="shared" si="1"/>
        <v>NO ES TITULAR</v>
      </c>
      <c r="T184" s="154" t="str">
        <f t="shared" si="2"/>
        <v>NO ES TITULAR</v>
      </c>
      <c r="U184" s="157"/>
      <c r="V184" s="155"/>
      <c r="W184" s="140"/>
    </row>
    <row r="185" spans="1:23" ht="15.75" customHeight="1">
      <c r="A185" s="148"/>
      <c r="B185" s="148"/>
      <c r="C185" s="158" t="e">
        <f>VLOOKUP(B185,MAESTRO!$D$4:$E$10,2,FALSE)</f>
        <v>#N/A</v>
      </c>
      <c r="D185" s="145" t="e">
        <f t="shared" si="10"/>
        <v>#N/A</v>
      </c>
      <c r="E185" s="160"/>
      <c r="F185" s="140"/>
      <c r="G185" s="141" t="e">
        <f>VLOOKUP(F185,MAESTRO!$G$4:$H$14,2,FALSE)</f>
        <v>#N/A</v>
      </c>
      <c r="H185" s="140"/>
      <c r="I185" s="140"/>
      <c r="J185" s="143"/>
      <c r="K185" s="163"/>
      <c r="L185" s="145">
        <f t="shared" ca="1" si="8"/>
        <v>126</v>
      </c>
      <c r="M185" s="166"/>
      <c r="N185" s="144"/>
      <c r="O185" s="145">
        <f t="shared" si="9"/>
        <v>0</v>
      </c>
      <c r="P185" s="168" t="e">
        <f>IF(N185="PRIMERA",
   VLOOKUP(O185,MAESTRO!M:O,2,FALSE),
   VLOOKUP(O185,MAESTRO!M:O,3,FALSE)
)</f>
        <v>#N/A</v>
      </c>
      <c r="Q185" s="148"/>
      <c r="R185" s="148" t="e">
        <f>VLOOKUP(Q185,MAESTRO!$P$5:$Q$8,2,FALSE)</f>
        <v>#N/A</v>
      </c>
      <c r="S185" s="149" t="str">
        <f t="shared" si="1"/>
        <v>NO ES TITULAR</v>
      </c>
      <c r="T185" s="154" t="str">
        <f t="shared" si="2"/>
        <v>NO ES TITULAR</v>
      </c>
      <c r="U185" s="157"/>
      <c r="V185" s="155"/>
      <c r="W185" s="140"/>
    </row>
    <row r="186" spans="1:23" ht="15.75" customHeight="1">
      <c r="A186" s="148"/>
      <c r="B186" s="148"/>
      <c r="C186" s="158" t="e">
        <f>VLOOKUP(B186,MAESTRO!$D$4:$E$10,2,FALSE)</f>
        <v>#N/A</v>
      </c>
      <c r="D186" s="145" t="e">
        <f t="shared" si="10"/>
        <v>#N/A</v>
      </c>
      <c r="E186" s="160"/>
      <c r="F186" s="140"/>
      <c r="G186" s="141" t="e">
        <f>VLOOKUP(F186,MAESTRO!$G$4:$H$14,2,FALSE)</f>
        <v>#N/A</v>
      </c>
      <c r="H186" s="140"/>
      <c r="I186" s="140"/>
      <c r="J186" s="143"/>
      <c r="K186" s="163"/>
      <c r="L186" s="145">
        <f t="shared" ca="1" si="8"/>
        <v>126</v>
      </c>
      <c r="M186" s="166"/>
      <c r="N186" s="144"/>
      <c r="O186" s="145">
        <f t="shared" si="9"/>
        <v>0</v>
      </c>
      <c r="P186" s="168" t="e">
        <f>IF(N186="PRIMERA",
   VLOOKUP(O186,MAESTRO!M:O,2,FALSE),
   VLOOKUP(O186,MAESTRO!M:O,3,FALSE)
)</f>
        <v>#N/A</v>
      </c>
      <c r="Q186" s="148"/>
      <c r="R186" s="148" t="e">
        <f>VLOOKUP(Q186,MAESTRO!$P$5:$Q$8,2,FALSE)</f>
        <v>#N/A</v>
      </c>
      <c r="S186" s="149" t="str">
        <f t="shared" si="1"/>
        <v>NO ES TITULAR</v>
      </c>
      <c r="T186" s="154" t="str">
        <f t="shared" si="2"/>
        <v>NO ES TITULAR</v>
      </c>
      <c r="U186" s="157"/>
      <c r="V186" s="155"/>
      <c r="W186" s="140"/>
    </row>
    <row r="187" spans="1:23" ht="15.75" customHeight="1">
      <c r="A187" s="148"/>
      <c r="B187" s="148"/>
      <c r="C187" s="158" t="e">
        <f>VLOOKUP(B187,MAESTRO!$D$4:$E$10,2,FALSE)</f>
        <v>#N/A</v>
      </c>
      <c r="D187" s="145" t="e">
        <f t="shared" si="10"/>
        <v>#N/A</v>
      </c>
      <c r="E187" s="160"/>
      <c r="F187" s="140"/>
      <c r="G187" s="141" t="e">
        <f>VLOOKUP(F187,MAESTRO!$G$4:$H$14,2,FALSE)</f>
        <v>#N/A</v>
      </c>
      <c r="H187" s="140"/>
      <c r="I187" s="140"/>
      <c r="J187" s="143"/>
      <c r="K187" s="163"/>
      <c r="L187" s="145">
        <f t="shared" ca="1" si="8"/>
        <v>126</v>
      </c>
      <c r="M187" s="166"/>
      <c r="N187" s="144"/>
      <c r="O187" s="145">
        <f t="shared" si="9"/>
        <v>0</v>
      </c>
      <c r="P187" s="168" t="e">
        <f>IF(N187="PRIMERA",
   VLOOKUP(O187,MAESTRO!M:O,2,FALSE),
   VLOOKUP(O187,MAESTRO!M:O,3,FALSE)
)</f>
        <v>#N/A</v>
      </c>
      <c r="Q187" s="148"/>
      <c r="R187" s="148" t="e">
        <f>VLOOKUP(Q187,MAESTRO!$P$5:$Q$8,2,FALSE)</f>
        <v>#N/A</v>
      </c>
      <c r="S187" s="149" t="str">
        <f t="shared" si="1"/>
        <v>NO ES TITULAR</v>
      </c>
      <c r="T187" s="154" t="str">
        <f t="shared" si="2"/>
        <v>NO ES TITULAR</v>
      </c>
      <c r="U187" s="157"/>
      <c r="V187" s="155"/>
      <c r="W187" s="140"/>
    </row>
    <row r="188" spans="1:23" ht="15.75" customHeight="1">
      <c r="A188" s="148"/>
      <c r="B188" s="148"/>
      <c r="C188" s="158" t="e">
        <f>VLOOKUP(B188,MAESTRO!$D$4:$E$10,2,FALSE)</f>
        <v>#N/A</v>
      </c>
      <c r="D188" s="145" t="e">
        <f t="shared" si="10"/>
        <v>#N/A</v>
      </c>
      <c r="E188" s="160"/>
      <c r="F188" s="140"/>
      <c r="G188" s="141" t="e">
        <f>VLOOKUP(F188,MAESTRO!$G$4:$H$14,2,FALSE)</f>
        <v>#N/A</v>
      </c>
      <c r="H188" s="140"/>
      <c r="I188" s="140"/>
      <c r="J188" s="143"/>
      <c r="K188" s="163"/>
      <c r="L188" s="145">
        <f t="shared" ca="1" si="8"/>
        <v>126</v>
      </c>
      <c r="M188" s="166"/>
      <c r="N188" s="144"/>
      <c r="O188" s="145">
        <f t="shared" si="9"/>
        <v>0</v>
      </c>
      <c r="P188" s="168" t="e">
        <f>IF(N188="PRIMERA",
   VLOOKUP(O188,MAESTRO!M:O,2,FALSE),
   VLOOKUP(O188,MAESTRO!M:O,3,FALSE)
)</f>
        <v>#N/A</v>
      </c>
      <c r="Q188" s="148"/>
      <c r="R188" s="148" t="e">
        <f>VLOOKUP(Q188,MAESTRO!$P$5:$Q$8,2,FALSE)</f>
        <v>#N/A</v>
      </c>
      <c r="S188" s="149" t="str">
        <f t="shared" si="1"/>
        <v>NO ES TITULAR</v>
      </c>
      <c r="T188" s="154" t="str">
        <f t="shared" si="2"/>
        <v>NO ES TITULAR</v>
      </c>
      <c r="U188" s="157"/>
      <c r="V188" s="155"/>
      <c r="W188" s="140"/>
    </row>
    <row r="189" spans="1:23" ht="15.75" customHeight="1">
      <c r="A189" s="148"/>
      <c r="B189" s="148"/>
      <c r="C189" s="158" t="e">
        <f>VLOOKUP(B189,MAESTRO!$D$4:$E$10,2,FALSE)</f>
        <v>#N/A</v>
      </c>
      <c r="D189" s="145" t="e">
        <f t="shared" si="10"/>
        <v>#N/A</v>
      </c>
      <c r="E189" s="160"/>
      <c r="F189" s="140"/>
      <c r="G189" s="141" t="e">
        <f>VLOOKUP(F189,MAESTRO!$G$4:$H$14,2,FALSE)</f>
        <v>#N/A</v>
      </c>
      <c r="H189" s="140"/>
      <c r="I189" s="140"/>
      <c r="J189" s="143"/>
      <c r="K189" s="163"/>
      <c r="L189" s="145">
        <f t="shared" ca="1" si="8"/>
        <v>126</v>
      </c>
      <c r="M189" s="166"/>
      <c r="N189" s="144"/>
      <c r="O189" s="145">
        <f t="shared" si="9"/>
        <v>0</v>
      </c>
      <c r="P189" s="168" t="e">
        <f>IF(N189="PRIMERA",
   VLOOKUP(O189,MAESTRO!M:O,2,FALSE),
   VLOOKUP(O189,MAESTRO!M:O,3,FALSE)
)</f>
        <v>#N/A</v>
      </c>
      <c r="Q189" s="148"/>
      <c r="R189" s="148" t="e">
        <f>VLOOKUP(Q189,MAESTRO!$P$5:$Q$8,2,FALSE)</f>
        <v>#N/A</v>
      </c>
      <c r="S189" s="149" t="str">
        <f t="shared" si="1"/>
        <v>NO ES TITULAR</v>
      </c>
      <c r="T189" s="154" t="str">
        <f t="shared" si="2"/>
        <v>NO ES TITULAR</v>
      </c>
      <c r="U189" s="157"/>
      <c r="V189" s="155"/>
      <c r="W189" s="140"/>
    </row>
    <row r="190" spans="1:23" ht="15.75" customHeight="1">
      <c r="A190" s="148"/>
      <c r="B190" s="148"/>
      <c r="C190" s="158" t="e">
        <f>VLOOKUP(B190,MAESTRO!$D$4:$E$10,2,FALSE)</f>
        <v>#N/A</v>
      </c>
      <c r="D190" s="145" t="e">
        <f t="shared" si="10"/>
        <v>#N/A</v>
      </c>
      <c r="E190" s="160"/>
      <c r="F190" s="140"/>
      <c r="G190" s="141" t="e">
        <f>VLOOKUP(F190,MAESTRO!$G$4:$H$14,2,FALSE)</f>
        <v>#N/A</v>
      </c>
      <c r="H190" s="140"/>
      <c r="I190" s="140"/>
      <c r="J190" s="143"/>
      <c r="K190" s="163"/>
      <c r="L190" s="145">
        <f t="shared" ca="1" si="8"/>
        <v>126</v>
      </c>
      <c r="M190" s="166"/>
      <c r="N190" s="144"/>
      <c r="O190" s="145">
        <f t="shared" si="9"/>
        <v>0</v>
      </c>
      <c r="P190" s="168" t="e">
        <f>IF(N190="PRIMERA",
   VLOOKUP(O190,MAESTRO!M:O,2,FALSE),
   VLOOKUP(O190,MAESTRO!M:O,3,FALSE)
)</f>
        <v>#N/A</v>
      </c>
      <c r="Q190" s="148"/>
      <c r="R190" s="148" t="e">
        <f>VLOOKUP(Q190,MAESTRO!$P$5:$Q$8,2,FALSE)</f>
        <v>#N/A</v>
      </c>
      <c r="S190" s="149" t="str">
        <f t="shared" si="1"/>
        <v>NO ES TITULAR</v>
      </c>
      <c r="T190" s="154" t="str">
        <f t="shared" si="2"/>
        <v>NO ES TITULAR</v>
      </c>
      <c r="U190" s="157"/>
      <c r="V190" s="155"/>
      <c r="W190" s="140"/>
    </row>
    <row r="191" spans="1:23" ht="15.75" customHeight="1">
      <c r="A191" s="148"/>
      <c r="B191" s="148"/>
      <c r="C191" s="158" t="e">
        <f>VLOOKUP(B191,MAESTRO!$D$4:$E$10,2,FALSE)</f>
        <v>#N/A</v>
      </c>
      <c r="D191" s="145" t="e">
        <f t="shared" si="10"/>
        <v>#N/A</v>
      </c>
      <c r="E191" s="160"/>
      <c r="F191" s="140"/>
      <c r="G191" s="141" t="e">
        <f>VLOOKUP(F191,MAESTRO!$G$4:$H$14,2,FALSE)</f>
        <v>#N/A</v>
      </c>
      <c r="H191" s="140"/>
      <c r="I191" s="140"/>
      <c r="J191" s="143"/>
      <c r="K191" s="163"/>
      <c r="L191" s="145">
        <f t="shared" ca="1" si="8"/>
        <v>126</v>
      </c>
      <c r="M191" s="166"/>
      <c r="N191" s="144"/>
      <c r="O191" s="145">
        <f t="shared" si="9"/>
        <v>0</v>
      </c>
      <c r="P191" s="168" t="e">
        <f>IF(N191="PRIMERA",
   VLOOKUP(O191,MAESTRO!M:O,2,FALSE),
   VLOOKUP(O191,MAESTRO!M:O,3,FALSE)
)</f>
        <v>#N/A</v>
      </c>
      <c r="Q191" s="148"/>
      <c r="R191" s="148" t="e">
        <f>VLOOKUP(Q191,MAESTRO!$P$5:$Q$8,2,FALSE)</f>
        <v>#N/A</v>
      </c>
      <c r="S191" s="149" t="str">
        <f t="shared" si="1"/>
        <v>NO ES TITULAR</v>
      </c>
      <c r="T191" s="154" t="str">
        <f t="shared" si="2"/>
        <v>NO ES TITULAR</v>
      </c>
      <c r="U191" s="157"/>
      <c r="V191" s="155"/>
      <c r="W191" s="140"/>
    </row>
    <row r="192" spans="1:23" ht="15.75" customHeight="1">
      <c r="A192" s="148"/>
      <c r="B192" s="148"/>
      <c r="C192" s="158" t="e">
        <f>VLOOKUP(B192,MAESTRO!$D$4:$E$10,2,FALSE)</f>
        <v>#N/A</v>
      </c>
      <c r="D192" s="145" t="e">
        <f t="shared" si="10"/>
        <v>#N/A</v>
      </c>
      <c r="E192" s="160"/>
      <c r="F192" s="140"/>
      <c r="G192" s="141" t="e">
        <f>VLOOKUP(F192,MAESTRO!$G$4:$H$14,2,FALSE)</f>
        <v>#N/A</v>
      </c>
      <c r="H192" s="140"/>
      <c r="I192" s="140"/>
      <c r="J192" s="143"/>
      <c r="K192" s="163"/>
      <c r="L192" s="145">
        <f t="shared" ca="1" si="8"/>
        <v>126</v>
      </c>
      <c r="M192" s="166"/>
      <c r="N192" s="144"/>
      <c r="O192" s="145">
        <f t="shared" si="9"/>
        <v>0</v>
      </c>
      <c r="P192" s="168" t="e">
        <f>IF(N192="PRIMERA",
   VLOOKUP(O192,MAESTRO!M:O,2,FALSE),
   VLOOKUP(O192,MAESTRO!M:O,3,FALSE)
)</f>
        <v>#N/A</v>
      </c>
      <c r="Q192" s="148"/>
      <c r="R192" s="148" t="e">
        <f>VLOOKUP(Q192,MAESTRO!$P$5:$Q$8,2,FALSE)</f>
        <v>#N/A</v>
      </c>
      <c r="S192" s="149" t="str">
        <f t="shared" si="1"/>
        <v>NO ES TITULAR</v>
      </c>
      <c r="T192" s="154" t="str">
        <f t="shared" si="2"/>
        <v>NO ES TITULAR</v>
      </c>
      <c r="U192" s="157"/>
      <c r="V192" s="155"/>
      <c r="W192" s="140"/>
    </row>
    <row r="193" spans="1:23" ht="15.75" customHeight="1">
      <c r="A193" s="148"/>
      <c r="B193" s="148"/>
      <c r="C193" s="158" t="e">
        <f>VLOOKUP(B193,MAESTRO!$D$4:$E$10,2,FALSE)</f>
        <v>#N/A</v>
      </c>
      <c r="D193" s="145" t="e">
        <f t="shared" si="10"/>
        <v>#N/A</v>
      </c>
      <c r="E193" s="160"/>
      <c r="F193" s="140"/>
      <c r="G193" s="141" t="e">
        <f>VLOOKUP(F193,MAESTRO!$G$4:$H$14,2,FALSE)</f>
        <v>#N/A</v>
      </c>
      <c r="H193" s="140"/>
      <c r="I193" s="140"/>
      <c r="J193" s="143"/>
      <c r="K193" s="163"/>
      <c r="L193" s="145">
        <f t="shared" ca="1" si="8"/>
        <v>126</v>
      </c>
      <c r="M193" s="166"/>
      <c r="N193" s="144"/>
      <c r="O193" s="145">
        <f t="shared" si="9"/>
        <v>0</v>
      </c>
      <c r="P193" s="168" t="e">
        <f>IF(N193="PRIMERA",
   VLOOKUP(O193,MAESTRO!M:O,2,FALSE),
   VLOOKUP(O193,MAESTRO!M:O,3,FALSE)
)</f>
        <v>#N/A</v>
      </c>
      <c r="Q193" s="148"/>
      <c r="R193" s="148" t="e">
        <f>VLOOKUP(Q193,MAESTRO!$P$5:$Q$8,2,FALSE)</f>
        <v>#N/A</v>
      </c>
      <c r="S193" s="149" t="str">
        <f t="shared" si="1"/>
        <v>NO ES TITULAR</v>
      </c>
      <c r="T193" s="154" t="str">
        <f t="shared" si="2"/>
        <v>NO ES TITULAR</v>
      </c>
      <c r="U193" s="157"/>
      <c r="V193" s="155"/>
      <c r="W193" s="140"/>
    </row>
    <row r="194" spans="1:23" ht="15.75" customHeight="1">
      <c r="A194" s="148"/>
      <c r="B194" s="148"/>
      <c r="C194" s="158" t="e">
        <f>VLOOKUP(B194,MAESTRO!$D$4:$E$10,2,FALSE)</f>
        <v>#N/A</v>
      </c>
      <c r="D194" s="145" t="e">
        <f t="shared" si="10"/>
        <v>#N/A</v>
      </c>
      <c r="E194" s="160"/>
      <c r="F194" s="140"/>
      <c r="G194" s="141" t="e">
        <f>VLOOKUP(F194,MAESTRO!$G$4:$H$14,2,FALSE)</f>
        <v>#N/A</v>
      </c>
      <c r="H194" s="140"/>
      <c r="I194" s="140"/>
      <c r="J194" s="143"/>
      <c r="K194" s="163"/>
      <c r="L194" s="145">
        <f t="shared" ref="L194:L257" ca="1" si="11">DATEDIF(K194,TODAY(),"Y")</f>
        <v>126</v>
      </c>
      <c r="M194" s="166"/>
      <c r="N194" s="144"/>
      <c r="O194" s="145">
        <f t="shared" si="9"/>
        <v>0</v>
      </c>
      <c r="P194" s="168" t="e">
        <f>IF(N194="PRIMERA",
   VLOOKUP(O194,MAESTRO!M:O,2,FALSE),
   VLOOKUP(O194,MAESTRO!M:O,3,FALSE)
)</f>
        <v>#N/A</v>
      </c>
      <c r="Q194" s="148"/>
      <c r="R194" s="148" t="e">
        <f>VLOOKUP(Q194,MAESTRO!$P$5:$Q$8,2,FALSE)</f>
        <v>#N/A</v>
      </c>
      <c r="S194" s="149" t="str">
        <f t="shared" si="1"/>
        <v>NO ES TITULAR</v>
      </c>
      <c r="T194" s="154" t="str">
        <f t="shared" si="2"/>
        <v>NO ES TITULAR</v>
      </c>
      <c r="U194" s="157"/>
      <c r="V194" s="155"/>
      <c r="W194" s="140"/>
    </row>
    <row r="195" spans="1:23" ht="15.75" customHeight="1">
      <c r="A195" s="148"/>
      <c r="B195" s="148"/>
      <c r="C195" s="158" t="e">
        <f>VLOOKUP(B195,MAESTRO!$D$4:$E$10,2,FALSE)</f>
        <v>#N/A</v>
      </c>
      <c r="D195" s="145" t="e">
        <f t="shared" si="10"/>
        <v>#N/A</v>
      </c>
      <c r="E195" s="160"/>
      <c r="F195" s="140"/>
      <c r="G195" s="141" t="e">
        <f>VLOOKUP(F195,MAESTRO!$G$4:$H$14,2,FALSE)</f>
        <v>#N/A</v>
      </c>
      <c r="H195" s="140"/>
      <c r="I195" s="140"/>
      <c r="J195" s="143"/>
      <c r="K195" s="163"/>
      <c r="L195" s="145">
        <f t="shared" ca="1" si="11"/>
        <v>126</v>
      </c>
      <c r="M195" s="166"/>
      <c r="N195" s="144"/>
      <c r="O195" s="145">
        <f t="shared" ref="O195:O258" si="12">+B195</f>
        <v>0</v>
      </c>
      <c r="P195" s="168" t="e">
        <f>IF(N195="PRIMERA",
   VLOOKUP(O195,MAESTRO!M:O,2,FALSE),
   VLOOKUP(O195,MAESTRO!M:O,3,FALSE)
)</f>
        <v>#N/A</v>
      </c>
      <c r="Q195" s="148"/>
      <c r="R195" s="148" t="e">
        <f>VLOOKUP(Q195,MAESTRO!$P$5:$Q$8,2,FALSE)</f>
        <v>#N/A</v>
      </c>
      <c r="S195" s="149" t="str">
        <f t="shared" si="1"/>
        <v>NO ES TITULAR</v>
      </c>
      <c r="T195" s="154" t="str">
        <f t="shared" si="2"/>
        <v>NO ES TITULAR</v>
      </c>
      <c r="U195" s="157"/>
      <c r="V195" s="155"/>
      <c r="W195" s="140"/>
    </row>
    <row r="196" spans="1:23" ht="15.75" customHeight="1">
      <c r="A196" s="148"/>
      <c r="B196" s="148"/>
      <c r="C196" s="158" t="e">
        <f>VLOOKUP(B196,MAESTRO!$D$4:$E$10,2,FALSE)</f>
        <v>#N/A</v>
      </c>
      <c r="D196" s="145" t="e">
        <f t="shared" ref="D196:D259" si="13">IF(C196&gt;0,1+D195)</f>
        <v>#N/A</v>
      </c>
      <c r="E196" s="160"/>
      <c r="F196" s="140"/>
      <c r="G196" s="141" t="e">
        <f>VLOOKUP(F196,MAESTRO!$G$4:$H$14,2,FALSE)</f>
        <v>#N/A</v>
      </c>
      <c r="H196" s="140"/>
      <c r="I196" s="140"/>
      <c r="J196" s="143"/>
      <c r="K196" s="163"/>
      <c r="L196" s="145">
        <f t="shared" ca="1" si="11"/>
        <v>126</v>
      </c>
      <c r="M196" s="166"/>
      <c r="N196" s="144"/>
      <c r="O196" s="145">
        <f t="shared" si="12"/>
        <v>0</v>
      </c>
      <c r="P196" s="168" t="e">
        <f>IF(N196="PRIMERA",
   VLOOKUP(O196,MAESTRO!M:O,2,FALSE),
   VLOOKUP(O196,MAESTRO!M:O,3,FALSE)
)</f>
        <v>#N/A</v>
      </c>
      <c r="Q196" s="148"/>
      <c r="R196" s="148" t="e">
        <f>VLOOKUP(Q196,MAESTRO!$P$5:$Q$8,2,FALSE)</f>
        <v>#N/A</v>
      </c>
      <c r="S196" s="149" t="str">
        <f t="shared" si="1"/>
        <v>NO ES TITULAR</v>
      </c>
      <c r="T196" s="154" t="str">
        <f t="shared" si="2"/>
        <v>NO ES TITULAR</v>
      </c>
      <c r="U196" s="157"/>
      <c r="V196" s="155"/>
      <c r="W196" s="140"/>
    </row>
    <row r="197" spans="1:23" ht="15.75" customHeight="1">
      <c r="A197" s="148"/>
      <c r="B197" s="148"/>
      <c r="C197" s="158" t="e">
        <f>VLOOKUP(B197,MAESTRO!$D$4:$E$10,2,FALSE)</f>
        <v>#N/A</v>
      </c>
      <c r="D197" s="145" t="e">
        <f t="shared" si="13"/>
        <v>#N/A</v>
      </c>
      <c r="E197" s="160"/>
      <c r="F197" s="140"/>
      <c r="G197" s="141" t="e">
        <f>VLOOKUP(F197,MAESTRO!$G$4:$H$14,2,FALSE)</f>
        <v>#N/A</v>
      </c>
      <c r="H197" s="140"/>
      <c r="I197" s="140"/>
      <c r="J197" s="143"/>
      <c r="K197" s="163"/>
      <c r="L197" s="145">
        <f t="shared" ca="1" si="11"/>
        <v>126</v>
      </c>
      <c r="M197" s="166"/>
      <c r="N197" s="144"/>
      <c r="O197" s="145">
        <f t="shared" si="12"/>
        <v>0</v>
      </c>
      <c r="P197" s="168" t="e">
        <f>IF(N197="PRIMERA",
   VLOOKUP(O197,MAESTRO!M:O,2,FALSE),
   VLOOKUP(O197,MAESTRO!M:O,3,FALSE)
)</f>
        <v>#N/A</v>
      </c>
      <c r="Q197" s="148"/>
      <c r="R197" s="148" t="e">
        <f>VLOOKUP(Q197,MAESTRO!$P$5:$Q$8,2,FALSE)</f>
        <v>#N/A</v>
      </c>
      <c r="S197" s="149" t="str">
        <f t="shared" si="1"/>
        <v>NO ES TITULAR</v>
      </c>
      <c r="T197" s="154" t="str">
        <f t="shared" si="2"/>
        <v>NO ES TITULAR</v>
      </c>
      <c r="U197" s="157"/>
      <c r="V197" s="155"/>
      <c r="W197" s="140"/>
    </row>
    <row r="198" spans="1:23" ht="15.75" customHeight="1">
      <c r="A198" s="148"/>
      <c r="B198" s="148"/>
      <c r="C198" s="158" t="e">
        <f>VLOOKUP(B198,MAESTRO!$D$4:$E$10,2,FALSE)</f>
        <v>#N/A</v>
      </c>
      <c r="D198" s="145" t="e">
        <f t="shared" si="13"/>
        <v>#N/A</v>
      </c>
      <c r="E198" s="160"/>
      <c r="F198" s="140"/>
      <c r="G198" s="141" t="e">
        <f>VLOOKUP(F198,MAESTRO!$G$4:$H$14,2,FALSE)</f>
        <v>#N/A</v>
      </c>
      <c r="H198" s="140"/>
      <c r="I198" s="140"/>
      <c r="J198" s="143"/>
      <c r="K198" s="163"/>
      <c r="L198" s="145">
        <f t="shared" ca="1" si="11"/>
        <v>126</v>
      </c>
      <c r="M198" s="166"/>
      <c r="N198" s="144"/>
      <c r="O198" s="145">
        <f t="shared" si="12"/>
        <v>0</v>
      </c>
      <c r="P198" s="168" t="e">
        <f>IF(N198="PRIMERA",
   VLOOKUP(O198,MAESTRO!M:O,2,FALSE),
   VLOOKUP(O198,MAESTRO!M:O,3,FALSE)
)</f>
        <v>#N/A</v>
      </c>
      <c r="Q198" s="148"/>
      <c r="R198" s="148" t="e">
        <f>VLOOKUP(Q198,MAESTRO!$P$5:$Q$8,2,FALSE)</f>
        <v>#N/A</v>
      </c>
      <c r="S198" s="149" t="str">
        <f t="shared" si="1"/>
        <v>NO ES TITULAR</v>
      </c>
      <c r="T198" s="154" t="str">
        <f t="shared" si="2"/>
        <v>NO ES TITULAR</v>
      </c>
      <c r="U198" s="157"/>
      <c r="V198" s="155"/>
      <c r="W198" s="140"/>
    </row>
    <row r="199" spans="1:23" ht="15.75" customHeight="1">
      <c r="A199" s="148"/>
      <c r="B199" s="148"/>
      <c r="C199" s="158" t="e">
        <f>VLOOKUP(B199,MAESTRO!$D$4:$E$10,2,FALSE)</f>
        <v>#N/A</v>
      </c>
      <c r="D199" s="145" t="e">
        <f t="shared" si="13"/>
        <v>#N/A</v>
      </c>
      <c r="E199" s="160"/>
      <c r="F199" s="140"/>
      <c r="G199" s="141" t="e">
        <f>VLOOKUP(F199,MAESTRO!$G$4:$H$14,2,FALSE)</f>
        <v>#N/A</v>
      </c>
      <c r="H199" s="140"/>
      <c r="I199" s="140"/>
      <c r="J199" s="143"/>
      <c r="K199" s="163"/>
      <c r="L199" s="145">
        <f t="shared" ca="1" si="11"/>
        <v>126</v>
      </c>
      <c r="M199" s="166"/>
      <c r="N199" s="144"/>
      <c r="O199" s="145">
        <f t="shared" si="12"/>
        <v>0</v>
      </c>
      <c r="P199" s="168" t="e">
        <f>IF(N199="PRIMERA",
   VLOOKUP(O199,MAESTRO!M:O,2,FALSE),
   VLOOKUP(O199,MAESTRO!M:O,3,FALSE)
)</f>
        <v>#N/A</v>
      </c>
      <c r="Q199" s="148"/>
      <c r="R199" s="148" t="e">
        <f>VLOOKUP(Q199,MAESTRO!$P$5:$Q$8,2,FALSE)</f>
        <v>#N/A</v>
      </c>
      <c r="S199" s="149" t="str">
        <f t="shared" si="1"/>
        <v>NO ES TITULAR</v>
      </c>
      <c r="T199" s="154" t="str">
        <f t="shared" si="2"/>
        <v>NO ES TITULAR</v>
      </c>
      <c r="U199" s="157"/>
      <c r="V199" s="155"/>
      <c r="W199" s="140"/>
    </row>
    <row r="200" spans="1:23" ht="15.75" customHeight="1">
      <c r="A200" s="148"/>
      <c r="B200" s="148"/>
      <c r="C200" s="158" t="e">
        <f>VLOOKUP(B200,MAESTRO!$D$4:$E$10,2,FALSE)</f>
        <v>#N/A</v>
      </c>
      <c r="D200" s="145" t="e">
        <f t="shared" si="13"/>
        <v>#N/A</v>
      </c>
      <c r="E200" s="160"/>
      <c r="F200" s="140"/>
      <c r="G200" s="141" t="e">
        <f>VLOOKUP(F200,MAESTRO!$G$4:$H$14,2,FALSE)</f>
        <v>#N/A</v>
      </c>
      <c r="H200" s="140"/>
      <c r="I200" s="140"/>
      <c r="J200" s="143"/>
      <c r="K200" s="163"/>
      <c r="L200" s="145">
        <f t="shared" ca="1" si="11"/>
        <v>126</v>
      </c>
      <c r="M200" s="166"/>
      <c r="N200" s="144"/>
      <c r="O200" s="145">
        <f t="shared" si="12"/>
        <v>0</v>
      </c>
      <c r="P200" s="168" t="e">
        <f>IF(N200="PRIMERA",
   VLOOKUP(O200,MAESTRO!M:O,2,FALSE),
   VLOOKUP(O200,MAESTRO!M:O,3,FALSE)
)</f>
        <v>#N/A</v>
      </c>
      <c r="Q200" s="148"/>
      <c r="R200" s="148" t="e">
        <f>VLOOKUP(Q200,MAESTRO!$P$5:$Q$8,2,FALSE)</f>
        <v>#N/A</v>
      </c>
      <c r="S200" s="149" t="str">
        <f t="shared" si="1"/>
        <v>NO ES TITULAR</v>
      </c>
      <c r="T200" s="154" t="str">
        <f t="shared" si="2"/>
        <v>NO ES TITULAR</v>
      </c>
      <c r="U200" s="157"/>
      <c r="V200" s="155"/>
      <c r="W200" s="140"/>
    </row>
    <row r="201" spans="1:23" ht="15.75" customHeight="1">
      <c r="A201" s="148"/>
      <c r="B201" s="148"/>
      <c r="C201" s="158" t="e">
        <f>VLOOKUP(B201,MAESTRO!$D$4:$E$10,2,FALSE)</f>
        <v>#N/A</v>
      </c>
      <c r="D201" s="145" t="e">
        <f t="shared" si="13"/>
        <v>#N/A</v>
      </c>
      <c r="E201" s="160"/>
      <c r="F201" s="140"/>
      <c r="G201" s="141" t="e">
        <f>VLOOKUP(F201,MAESTRO!$G$4:$H$14,2,FALSE)</f>
        <v>#N/A</v>
      </c>
      <c r="H201" s="140"/>
      <c r="I201" s="140"/>
      <c r="J201" s="143"/>
      <c r="K201" s="163"/>
      <c r="L201" s="145">
        <f t="shared" ca="1" si="11"/>
        <v>126</v>
      </c>
      <c r="M201" s="166"/>
      <c r="N201" s="144"/>
      <c r="O201" s="145">
        <f t="shared" si="12"/>
        <v>0</v>
      </c>
      <c r="P201" s="168" t="e">
        <f>IF(N201="PRIMERA",
   VLOOKUP(O201,MAESTRO!M:O,2,FALSE),
   VLOOKUP(O201,MAESTRO!M:O,3,FALSE)
)</f>
        <v>#N/A</v>
      </c>
      <c r="Q201" s="148"/>
      <c r="R201" s="148" t="e">
        <f>VLOOKUP(Q201,MAESTRO!$P$5:$Q$8,2,FALSE)</f>
        <v>#N/A</v>
      </c>
      <c r="S201" s="149" t="str">
        <f t="shared" si="1"/>
        <v>NO ES TITULAR</v>
      </c>
      <c r="T201" s="154" t="str">
        <f t="shared" si="2"/>
        <v>NO ES TITULAR</v>
      </c>
      <c r="U201" s="157"/>
      <c r="V201" s="155"/>
      <c r="W201" s="140"/>
    </row>
    <row r="202" spans="1:23" ht="15.75" customHeight="1">
      <c r="A202" s="148"/>
      <c r="B202" s="148"/>
      <c r="C202" s="158" t="e">
        <f>VLOOKUP(B202,MAESTRO!$D$4:$E$10,2,FALSE)</f>
        <v>#N/A</v>
      </c>
      <c r="D202" s="145" t="e">
        <f t="shared" si="13"/>
        <v>#N/A</v>
      </c>
      <c r="E202" s="160"/>
      <c r="F202" s="140"/>
      <c r="G202" s="141" t="e">
        <f>VLOOKUP(F202,MAESTRO!$G$4:$H$14,2,FALSE)</f>
        <v>#N/A</v>
      </c>
      <c r="H202" s="140"/>
      <c r="I202" s="140"/>
      <c r="J202" s="143"/>
      <c r="K202" s="163"/>
      <c r="L202" s="145">
        <f t="shared" ca="1" si="11"/>
        <v>126</v>
      </c>
      <c r="M202" s="166"/>
      <c r="N202" s="144"/>
      <c r="O202" s="145">
        <f t="shared" si="12"/>
        <v>0</v>
      </c>
      <c r="P202" s="168" t="e">
        <f>IF(N202="PRIMERA",
   VLOOKUP(O202,MAESTRO!M:O,2,FALSE),
   VLOOKUP(O202,MAESTRO!M:O,3,FALSE)
)</f>
        <v>#N/A</v>
      </c>
      <c r="Q202" s="148"/>
      <c r="R202" s="148" t="e">
        <f>VLOOKUP(Q202,MAESTRO!$P$5:$Q$8,2,FALSE)</f>
        <v>#N/A</v>
      </c>
      <c r="S202" s="149" t="str">
        <f t="shared" si="1"/>
        <v>NO ES TITULAR</v>
      </c>
      <c r="T202" s="154" t="str">
        <f t="shared" si="2"/>
        <v>NO ES TITULAR</v>
      </c>
      <c r="U202" s="157"/>
      <c r="V202" s="155"/>
      <c r="W202" s="140"/>
    </row>
    <row r="203" spans="1:23" ht="15.75" customHeight="1">
      <c r="A203" s="148"/>
      <c r="B203" s="148"/>
      <c r="C203" s="158" t="e">
        <f>VLOOKUP(B203,MAESTRO!$D$4:$E$10,2,FALSE)</f>
        <v>#N/A</v>
      </c>
      <c r="D203" s="145" t="e">
        <f t="shared" si="13"/>
        <v>#N/A</v>
      </c>
      <c r="E203" s="160"/>
      <c r="F203" s="140"/>
      <c r="G203" s="141" t="e">
        <f>VLOOKUP(F203,MAESTRO!$G$4:$H$14,2,FALSE)</f>
        <v>#N/A</v>
      </c>
      <c r="H203" s="140"/>
      <c r="I203" s="140"/>
      <c r="J203" s="143"/>
      <c r="K203" s="163"/>
      <c r="L203" s="145">
        <f t="shared" ca="1" si="11"/>
        <v>126</v>
      </c>
      <c r="M203" s="166"/>
      <c r="N203" s="144"/>
      <c r="O203" s="145">
        <f t="shared" si="12"/>
        <v>0</v>
      </c>
      <c r="P203" s="168" t="e">
        <f>IF(N203="PRIMERA",
   VLOOKUP(O203,MAESTRO!M:O,2,FALSE),
   VLOOKUP(O203,MAESTRO!M:O,3,FALSE)
)</f>
        <v>#N/A</v>
      </c>
      <c r="Q203" s="148"/>
      <c r="R203" s="148" t="e">
        <f>VLOOKUP(Q203,MAESTRO!$P$5:$Q$8,2,FALSE)</f>
        <v>#N/A</v>
      </c>
      <c r="S203" s="149" t="str">
        <f t="shared" si="1"/>
        <v>NO ES TITULAR</v>
      </c>
      <c r="T203" s="154" t="str">
        <f t="shared" si="2"/>
        <v>NO ES TITULAR</v>
      </c>
      <c r="U203" s="157"/>
      <c r="V203" s="155"/>
      <c r="W203" s="140"/>
    </row>
    <row r="204" spans="1:23" ht="15.75" customHeight="1">
      <c r="A204" s="148"/>
      <c r="B204" s="148"/>
      <c r="C204" s="158" t="e">
        <f>VLOOKUP(B204,MAESTRO!$D$4:$E$10,2,FALSE)</f>
        <v>#N/A</v>
      </c>
      <c r="D204" s="145" t="e">
        <f t="shared" si="13"/>
        <v>#N/A</v>
      </c>
      <c r="E204" s="160"/>
      <c r="F204" s="140"/>
      <c r="G204" s="141" t="e">
        <f>VLOOKUP(F204,MAESTRO!$G$4:$H$14,2,FALSE)</f>
        <v>#N/A</v>
      </c>
      <c r="H204" s="140"/>
      <c r="I204" s="140"/>
      <c r="J204" s="143"/>
      <c r="K204" s="163"/>
      <c r="L204" s="145">
        <f t="shared" ca="1" si="11"/>
        <v>126</v>
      </c>
      <c r="M204" s="166"/>
      <c r="N204" s="144"/>
      <c r="O204" s="145">
        <f t="shared" si="12"/>
        <v>0</v>
      </c>
      <c r="P204" s="168" t="e">
        <f>IF(N204="PRIMERA",
   VLOOKUP(O204,MAESTRO!M:O,2,FALSE),
   VLOOKUP(O204,MAESTRO!M:O,3,FALSE)
)</f>
        <v>#N/A</v>
      </c>
      <c r="Q204" s="148"/>
      <c r="R204" s="148" t="e">
        <f>VLOOKUP(Q204,MAESTRO!$P$5:$Q$8,2,FALSE)</f>
        <v>#N/A</v>
      </c>
      <c r="S204" s="149" t="str">
        <f t="shared" si="1"/>
        <v>NO ES TITULAR</v>
      </c>
      <c r="T204" s="154" t="str">
        <f t="shared" si="2"/>
        <v>NO ES TITULAR</v>
      </c>
      <c r="U204" s="157"/>
      <c r="V204" s="155"/>
      <c r="W204" s="140"/>
    </row>
    <row r="205" spans="1:23" ht="15.75" customHeight="1">
      <c r="A205" s="148"/>
      <c r="B205" s="148"/>
      <c r="C205" s="158" t="e">
        <f>VLOOKUP(B205,MAESTRO!$D$4:$E$10,2,FALSE)</f>
        <v>#N/A</v>
      </c>
      <c r="D205" s="145" t="e">
        <f t="shared" si="13"/>
        <v>#N/A</v>
      </c>
      <c r="E205" s="160"/>
      <c r="F205" s="140"/>
      <c r="G205" s="141" t="e">
        <f>VLOOKUP(F205,MAESTRO!$G$4:$H$14,2,FALSE)</f>
        <v>#N/A</v>
      </c>
      <c r="H205" s="140"/>
      <c r="I205" s="140"/>
      <c r="J205" s="143"/>
      <c r="K205" s="163"/>
      <c r="L205" s="145">
        <f t="shared" ca="1" si="11"/>
        <v>126</v>
      </c>
      <c r="M205" s="166"/>
      <c r="N205" s="144"/>
      <c r="O205" s="145">
        <f t="shared" si="12"/>
        <v>0</v>
      </c>
      <c r="P205" s="168" t="e">
        <f>IF(N205="PRIMERA",
   VLOOKUP(O205,MAESTRO!M:O,2,FALSE),
   VLOOKUP(O205,MAESTRO!M:O,3,FALSE)
)</f>
        <v>#N/A</v>
      </c>
      <c r="Q205" s="148"/>
      <c r="R205" s="148" t="e">
        <f>VLOOKUP(Q205,MAESTRO!$P$5:$Q$8,2,FALSE)</f>
        <v>#N/A</v>
      </c>
      <c r="S205" s="149" t="str">
        <f t="shared" si="1"/>
        <v>NO ES TITULAR</v>
      </c>
      <c r="T205" s="154" t="str">
        <f t="shared" si="2"/>
        <v>NO ES TITULAR</v>
      </c>
      <c r="U205" s="157"/>
      <c r="V205" s="155"/>
      <c r="W205" s="140"/>
    </row>
    <row r="206" spans="1:23" ht="15.75" customHeight="1">
      <c r="A206" s="148"/>
      <c r="B206" s="148"/>
      <c r="C206" s="158" t="e">
        <f>VLOOKUP(B206,MAESTRO!$D$4:$E$10,2,FALSE)</f>
        <v>#N/A</v>
      </c>
      <c r="D206" s="145" t="e">
        <f t="shared" si="13"/>
        <v>#N/A</v>
      </c>
      <c r="E206" s="160"/>
      <c r="F206" s="140"/>
      <c r="G206" s="141" t="e">
        <f>VLOOKUP(F206,MAESTRO!$G$4:$H$14,2,FALSE)</f>
        <v>#N/A</v>
      </c>
      <c r="H206" s="140"/>
      <c r="I206" s="140"/>
      <c r="J206" s="143"/>
      <c r="K206" s="163"/>
      <c r="L206" s="145">
        <f t="shared" ca="1" si="11"/>
        <v>126</v>
      </c>
      <c r="M206" s="166"/>
      <c r="N206" s="144"/>
      <c r="O206" s="145">
        <f t="shared" si="12"/>
        <v>0</v>
      </c>
      <c r="P206" s="168" t="e">
        <f>IF(N206="PRIMERA",
   VLOOKUP(O206,MAESTRO!M:O,2,FALSE),
   VLOOKUP(O206,MAESTRO!M:O,3,FALSE)
)</f>
        <v>#N/A</v>
      </c>
      <c r="Q206" s="148"/>
      <c r="R206" s="148" t="e">
        <f>VLOOKUP(Q206,MAESTRO!$P$5:$Q$8,2,FALSE)</f>
        <v>#N/A</v>
      </c>
      <c r="S206" s="149" t="str">
        <f t="shared" si="1"/>
        <v>NO ES TITULAR</v>
      </c>
      <c r="T206" s="154" t="str">
        <f t="shared" si="2"/>
        <v>NO ES TITULAR</v>
      </c>
      <c r="U206" s="157"/>
      <c r="V206" s="155"/>
      <c r="W206" s="140"/>
    </row>
    <row r="207" spans="1:23" ht="15.75" customHeight="1">
      <c r="A207" s="148"/>
      <c r="B207" s="148"/>
      <c r="C207" s="158" t="e">
        <f>VLOOKUP(B207,MAESTRO!$D$4:$E$10,2,FALSE)</f>
        <v>#N/A</v>
      </c>
      <c r="D207" s="145" t="e">
        <f t="shared" si="13"/>
        <v>#N/A</v>
      </c>
      <c r="E207" s="160"/>
      <c r="F207" s="140"/>
      <c r="G207" s="141" t="e">
        <f>VLOOKUP(F207,MAESTRO!$G$4:$H$14,2,FALSE)</f>
        <v>#N/A</v>
      </c>
      <c r="H207" s="140"/>
      <c r="I207" s="140"/>
      <c r="J207" s="143"/>
      <c r="K207" s="163"/>
      <c r="L207" s="145">
        <f t="shared" ca="1" si="11"/>
        <v>126</v>
      </c>
      <c r="M207" s="166"/>
      <c r="N207" s="144"/>
      <c r="O207" s="145">
        <f t="shared" si="12"/>
        <v>0</v>
      </c>
      <c r="P207" s="168" t="e">
        <f>IF(N207="PRIMERA",
   VLOOKUP(O207,MAESTRO!M:O,2,FALSE),
   VLOOKUP(O207,MAESTRO!M:O,3,FALSE)
)</f>
        <v>#N/A</v>
      </c>
      <c r="Q207" s="148"/>
      <c r="R207" s="148" t="e">
        <f>VLOOKUP(Q207,MAESTRO!$P$5:$Q$8,2,FALSE)</f>
        <v>#N/A</v>
      </c>
      <c r="S207" s="149" t="str">
        <f t="shared" si="1"/>
        <v>NO ES TITULAR</v>
      </c>
      <c r="T207" s="154" t="str">
        <f t="shared" si="2"/>
        <v>NO ES TITULAR</v>
      </c>
      <c r="U207" s="157"/>
      <c r="V207" s="155"/>
      <c r="W207" s="140"/>
    </row>
    <row r="208" spans="1:23" ht="15.75" customHeight="1">
      <c r="A208" s="148"/>
      <c r="B208" s="148"/>
      <c r="C208" s="158" t="e">
        <f>VLOOKUP(B208,MAESTRO!$D$4:$E$10,2,FALSE)</f>
        <v>#N/A</v>
      </c>
      <c r="D208" s="145" t="e">
        <f t="shared" si="13"/>
        <v>#N/A</v>
      </c>
      <c r="E208" s="160"/>
      <c r="F208" s="140"/>
      <c r="G208" s="141" t="e">
        <f>VLOOKUP(F208,MAESTRO!$G$4:$H$14,2,FALSE)</f>
        <v>#N/A</v>
      </c>
      <c r="H208" s="140"/>
      <c r="I208" s="140"/>
      <c r="J208" s="143"/>
      <c r="K208" s="163"/>
      <c r="L208" s="145">
        <f t="shared" ca="1" si="11"/>
        <v>126</v>
      </c>
      <c r="M208" s="166"/>
      <c r="N208" s="144"/>
      <c r="O208" s="145">
        <f t="shared" si="12"/>
        <v>0</v>
      </c>
      <c r="P208" s="168" t="e">
        <f>IF(N208="PRIMERA",
   VLOOKUP(O208,MAESTRO!M:O,2,FALSE),
   VLOOKUP(O208,MAESTRO!M:O,3,FALSE)
)</f>
        <v>#N/A</v>
      </c>
      <c r="Q208" s="148"/>
      <c r="R208" s="148" t="e">
        <f>VLOOKUP(Q208,MAESTRO!$P$5:$Q$8,2,FALSE)</f>
        <v>#N/A</v>
      </c>
      <c r="S208" s="149" t="str">
        <f t="shared" si="1"/>
        <v>NO ES TITULAR</v>
      </c>
      <c r="T208" s="154" t="str">
        <f t="shared" si="2"/>
        <v>NO ES TITULAR</v>
      </c>
      <c r="U208" s="157"/>
      <c r="V208" s="155"/>
      <c r="W208" s="140"/>
    </row>
    <row r="209" spans="1:23" ht="15.75" customHeight="1">
      <c r="A209" s="148"/>
      <c r="B209" s="148"/>
      <c r="C209" s="158" t="e">
        <f>VLOOKUP(B209,MAESTRO!$D$4:$E$10,2,FALSE)</f>
        <v>#N/A</v>
      </c>
      <c r="D209" s="145" t="e">
        <f t="shared" si="13"/>
        <v>#N/A</v>
      </c>
      <c r="E209" s="160"/>
      <c r="F209" s="140"/>
      <c r="G209" s="141" t="e">
        <f>VLOOKUP(F209,MAESTRO!$G$4:$H$14,2,FALSE)</f>
        <v>#N/A</v>
      </c>
      <c r="H209" s="140"/>
      <c r="I209" s="140"/>
      <c r="J209" s="143"/>
      <c r="K209" s="163"/>
      <c r="L209" s="145">
        <f t="shared" ca="1" si="11"/>
        <v>126</v>
      </c>
      <c r="M209" s="166"/>
      <c r="N209" s="144"/>
      <c r="O209" s="145">
        <f t="shared" si="12"/>
        <v>0</v>
      </c>
      <c r="P209" s="168" t="e">
        <f>IF(N209="PRIMERA",
   VLOOKUP(O209,MAESTRO!M:O,2,FALSE),
   VLOOKUP(O209,MAESTRO!M:O,3,FALSE)
)</f>
        <v>#N/A</v>
      </c>
      <c r="Q209" s="148"/>
      <c r="R209" s="148" t="e">
        <f>VLOOKUP(Q209,MAESTRO!$P$5:$Q$8,2,FALSE)</f>
        <v>#N/A</v>
      </c>
      <c r="S209" s="149" t="str">
        <f t="shared" si="1"/>
        <v>NO ES TITULAR</v>
      </c>
      <c r="T209" s="154" t="str">
        <f t="shared" si="2"/>
        <v>NO ES TITULAR</v>
      </c>
      <c r="U209" s="157"/>
      <c r="V209" s="155"/>
      <c r="W209" s="140"/>
    </row>
    <row r="210" spans="1:23" ht="15.75" customHeight="1">
      <c r="A210" s="148"/>
      <c r="B210" s="148"/>
      <c r="C210" s="158" t="e">
        <f>VLOOKUP(B210,MAESTRO!$D$4:$E$10,2,FALSE)</f>
        <v>#N/A</v>
      </c>
      <c r="D210" s="145" t="e">
        <f t="shared" si="13"/>
        <v>#N/A</v>
      </c>
      <c r="E210" s="160"/>
      <c r="F210" s="140"/>
      <c r="G210" s="141" t="e">
        <f>VLOOKUP(F210,MAESTRO!$G$4:$H$14,2,FALSE)</f>
        <v>#N/A</v>
      </c>
      <c r="H210" s="140"/>
      <c r="I210" s="140"/>
      <c r="J210" s="143"/>
      <c r="K210" s="163"/>
      <c r="L210" s="145">
        <f t="shared" ca="1" si="11"/>
        <v>126</v>
      </c>
      <c r="M210" s="166"/>
      <c r="N210" s="144"/>
      <c r="O210" s="145">
        <f t="shared" si="12"/>
        <v>0</v>
      </c>
      <c r="P210" s="168" t="e">
        <f>IF(N210="PRIMERA",
   VLOOKUP(O210,MAESTRO!M:O,2,FALSE),
   VLOOKUP(O210,MAESTRO!M:O,3,FALSE)
)</f>
        <v>#N/A</v>
      </c>
      <c r="Q210" s="148"/>
      <c r="R210" s="148" t="e">
        <f>VLOOKUP(Q210,MAESTRO!$P$5:$Q$8,2,FALSE)</f>
        <v>#N/A</v>
      </c>
      <c r="S210" s="149" t="str">
        <f t="shared" si="1"/>
        <v>NO ES TITULAR</v>
      </c>
      <c r="T210" s="154" t="str">
        <f t="shared" si="2"/>
        <v>NO ES TITULAR</v>
      </c>
      <c r="U210" s="157"/>
      <c r="V210" s="155"/>
      <c r="W210" s="140"/>
    </row>
    <row r="211" spans="1:23" ht="15.75" customHeight="1">
      <c r="A211" s="148"/>
      <c r="B211" s="148"/>
      <c r="C211" s="158" t="e">
        <f>VLOOKUP(B211,MAESTRO!$D$4:$E$10,2,FALSE)</f>
        <v>#N/A</v>
      </c>
      <c r="D211" s="145" t="e">
        <f t="shared" si="13"/>
        <v>#N/A</v>
      </c>
      <c r="E211" s="160"/>
      <c r="F211" s="140"/>
      <c r="G211" s="141" t="e">
        <f>VLOOKUP(F211,MAESTRO!$G$4:$H$14,2,FALSE)</f>
        <v>#N/A</v>
      </c>
      <c r="H211" s="140"/>
      <c r="I211" s="140"/>
      <c r="J211" s="143"/>
      <c r="K211" s="163"/>
      <c r="L211" s="145">
        <f t="shared" ca="1" si="11"/>
        <v>126</v>
      </c>
      <c r="M211" s="166"/>
      <c r="N211" s="144"/>
      <c r="O211" s="145">
        <f t="shared" si="12"/>
        <v>0</v>
      </c>
      <c r="P211" s="168" t="e">
        <f>IF(N211="PRIMERA",
   VLOOKUP(O211,MAESTRO!M:O,2,FALSE),
   VLOOKUP(O211,MAESTRO!M:O,3,FALSE)
)</f>
        <v>#N/A</v>
      </c>
      <c r="Q211" s="148"/>
      <c r="R211" s="148" t="e">
        <f>VLOOKUP(Q211,MAESTRO!$P$5:$Q$8,2,FALSE)</f>
        <v>#N/A</v>
      </c>
      <c r="S211" s="149" t="str">
        <f t="shared" si="1"/>
        <v>NO ES TITULAR</v>
      </c>
      <c r="T211" s="154" t="str">
        <f t="shared" si="2"/>
        <v>NO ES TITULAR</v>
      </c>
      <c r="U211" s="157"/>
      <c r="V211" s="155"/>
      <c r="W211" s="140"/>
    </row>
    <row r="212" spans="1:23" ht="15.75" customHeight="1">
      <c r="A212" s="148"/>
      <c r="B212" s="148"/>
      <c r="C212" s="158" t="e">
        <f>VLOOKUP(B212,MAESTRO!$D$4:$E$10,2,FALSE)</f>
        <v>#N/A</v>
      </c>
      <c r="D212" s="145" t="e">
        <f t="shared" si="13"/>
        <v>#N/A</v>
      </c>
      <c r="E212" s="160"/>
      <c r="F212" s="140"/>
      <c r="G212" s="141" t="e">
        <f>VLOOKUP(F212,MAESTRO!$G$4:$H$14,2,FALSE)</f>
        <v>#N/A</v>
      </c>
      <c r="H212" s="140"/>
      <c r="I212" s="140"/>
      <c r="J212" s="143"/>
      <c r="K212" s="163"/>
      <c r="L212" s="145">
        <f t="shared" ca="1" si="11"/>
        <v>126</v>
      </c>
      <c r="M212" s="166"/>
      <c r="N212" s="144"/>
      <c r="O212" s="145">
        <f t="shared" si="12"/>
        <v>0</v>
      </c>
      <c r="P212" s="168" t="e">
        <f>IF(N212="PRIMERA",
   VLOOKUP(O212,MAESTRO!M:O,2,FALSE),
   VLOOKUP(O212,MAESTRO!M:O,3,FALSE)
)</f>
        <v>#N/A</v>
      </c>
      <c r="Q212" s="148"/>
      <c r="R212" s="148" t="e">
        <f>VLOOKUP(Q212,MAESTRO!$P$5:$Q$8,2,FALSE)</f>
        <v>#N/A</v>
      </c>
      <c r="S212" s="149" t="str">
        <f t="shared" si="1"/>
        <v>NO ES TITULAR</v>
      </c>
      <c r="T212" s="154" t="str">
        <f t="shared" si="2"/>
        <v>NO ES TITULAR</v>
      </c>
      <c r="U212" s="157"/>
      <c r="V212" s="155"/>
      <c r="W212" s="140"/>
    </row>
    <row r="213" spans="1:23" ht="15.75" customHeight="1">
      <c r="A213" s="148"/>
      <c r="B213" s="148"/>
      <c r="C213" s="158" t="e">
        <f>VLOOKUP(B213,MAESTRO!$D$4:$E$10,2,FALSE)</f>
        <v>#N/A</v>
      </c>
      <c r="D213" s="145" t="e">
        <f t="shared" si="13"/>
        <v>#N/A</v>
      </c>
      <c r="E213" s="160"/>
      <c r="F213" s="140"/>
      <c r="G213" s="141" t="e">
        <f>VLOOKUP(F213,MAESTRO!$G$4:$H$14,2,FALSE)</f>
        <v>#N/A</v>
      </c>
      <c r="H213" s="140"/>
      <c r="I213" s="140"/>
      <c r="J213" s="143"/>
      <c r="K213" s="163"/>
      <c r="L213" s="145">
        <f t="shared" ca="1" si="11"/>
        <v>126</v>
      </c>
      <c r="M213" s="166"/>
      <c r="N213" s="144"/>
      <c r="O213" s="145">
        <f t="shared" si="12"/>
        <v>0</v>
      </c>
      <c r="P213" s="168" t="e">
        <f>IF(N213="PRIMERA",
   VLOOKUP(O213,MAESTRO!M:O,2,FALSE),
   VLOOKUP(O213,MAESTRO!M:O,3,FALSE)
)</f>
        <v>#N/A</v>
      </c>
      <c r="Q213" s="148"/>
      <c r="R213" s="148" t="e">
        <f>VLOOKUP(Q213,MAESTRO!$P$5:$Q$8,2,FALSE)</f>
        <v>#N/A</v>
      </c>
      <c r="S213" s="149" t="str">
        <f t="shared" si="1"/>
        <v>NO ES TITULAR</v>
      </c>
      <c r="T213" s="154" t="str">
        <f t="shared" si="2"/>
        <v>NO ES TITULAR</v>
      </c>
      <c r="U213" s="157"/>
      <c r="V213" s="155"/>
      <c r="W213" s="140"/>
    </row>
    <row r="214" spans="1:23" ht="15.75" customHeight="1">
      <c r="A214" s="148"/>
      <c r="B214" s="148"/>
      <c r="C214" s="158" t="e">
        <f>VLOOKUP(B214,MAESTRO!$D$4:$E$10,2,FALSE)</f>
        <v>#N/A</v>
      </c>
      <c r="D214" s="145" t="e">
        <f t="shared" si="13"/>
        <v>#N/A</v>
      </c>
      <c r="E214" s="160"/>
      <c r="F214" s="140"/>
      <c r="G214" s="141" t="e">
        <f>VLOOKUP(F214,MAESTRO!$G$4:$H$14,2,FALSE)</f>
        <v>#N/A</v>
      </c>
      <c r="H214" s="140"/>
      <c r="I214" s="140"/>
      <c r="J214" s="143"/>
      <c r="K214" s="163"/>
      <c r="L214" s="145">
        <f t="shared" ca="1" si="11"/>
        <v>126</v>
      </c>
      <c r="M214" s="166"/>
      <c r="N214" s="144"/>
      <c r="O214" s="145">
        <f t="shared" si="12"/>
        <v>0</v>
      </c>
      <c r="P214" s="168" t="e">
        <f>IF(N214="PRIMERA",
   VLOOKUP(O214,MAESTRO!M:O,2,FALSE),
   VLOOKUP(O214,MAESTRO!M:O,3,FALSE)
)</f>
        <v>#N/A</v>
      </c>
      <c r="Q214" s="148"/>
      <c r="R214" s="148" t="e">
        <f>VLOOKUP(Q214,MAESTRO!$P$5:$Q$8,2,FALSE)</f>
        <v>#N/A</v>
      </c>
      <c r="S214" s="149" t="str">
        <f t="shared" si="1"/>
        <v>NO ES TITULAR</v>
      </c>
      <c r="T214" s="154" t="str">
        <f t="shared" si="2"/>
        <v>NO ES TITULAR</v>
      </c>
      <c r="U214" s="157"/>
      <c r="V214" s="155"/>
      <c r="W214" s="140"/>
    </row>
    <row r="215" spans="1:23" ht="15.75" customHeight="1">
      <c r="A215" s="148"/>
      <c r="B215" s="148"/>
      <c r="C215" s="158" t="e">
        <f>VLOOKUP(B215,MAESTRO!$D$4:$E$10,2,FALSE)</f>
        <v>#N/A</v>
      </c>
      <c r="D215" s="145" t="e">
        <f t="shared" si="13"/>
        <v>#N/A</v>
      </c>
      <c r="E215" s="160"/>
      <c r="F215" s="140"/>
      <c r="G215" s="141" t="e">
        <f>VLOOKUP(F215,MAESTRO!$G$4:$H$14,2,FALSE)</f>
        <v>#N/A</v>
      </c>
      <c r="H215" s="140"/>
      <c r="I215" s="140"/>
      <c r="J215" s="143"/>
      <c r="K215" s="163"/>
      <c r="L215" s="145">
        <f t="shared" ca="1" si="11"/>
        <v>126</v>
      </c>
      <c r="M215" s="166"/>
      <c r="N215" s="144"/>
      <c r="O215" s="145">
        <f t="shared" si="12"/>
        <v>0</v>
      </c>
      <c r="P215" s="168" t="e">
        <f>IF(N215="PRIMERA",
   VLOOKUP(O215,MAESTRO!M:O,2,FALSE),
   VLOOKUP(O215,MAESTRO!M:O,3,FALSE)
)</f>
        <v>#N/A</v>
      </c>
      <c r="Q215" s="148"/>
      <c r="R215" s="148" t="e">
        <f>VLOOKUP(Q215,MAESTRO!$P$5:$Q$8,2,FALSE)</f>
        <v>#N/A</v>
      </c>
      <c r="S215" s="149" t="str">
        <f t="shared" si="1"/>
        <v>NO ES TITULAR</v>
      </c>
      <c r="T215" s="154" t="str">
        <f t="shared" si="2"/>
        <v>NO ES TITULAR</v>
      </c>
      <c r="U215" s="157"/>
      <c r="V215" s="155"/>
      <c r="W215" s="140"/>
    </row>
    <row r="216" spans="1:23" ht="15.75" customHeight="1">
      <c r="A216" s="148"/>
      <c r="B216" s="148"/>
      <c r="C216" s="158" t="e">
        <f>VLOOKUP(B216,MAESTRO!$D$4:$E$10,2,FALSE)</f>
        <v>#N/A</v>
      </c>
      <c r="D216" s="145" t="e">
        <f t="shared" si="13"/>
        <v>#N/A</v>
      </c>
      <c r="E216" s="160"/>
      <c r="F216" s="140"/>
      <c r="G216" s="141" t="e">
        <f>VLOOKUP(F216,MAESTRO!$G$4:$H$14,2,FALSE)</f>
        <v>#N/A</v>
      </c>
      <c r="H216" s="140"/>
      <c r="I216" s="140"/>
      <c r="J216" s="143"/>
      <c r="K216" s="163"/>
      <c r="L216" s="145">
        <f t="shared" ca="1" si="11"/>
        <v>126</v>
      </c>
      <c r="M216" s="166"/>
      <c r="N216" s="144"/>
      <c r="O216" s="145">
        <f t="shared" si="12"/>
        <v>0</v>
      </c>
      <c r="P216" s="168" t="e">
        <f>IF(N216="PRIMERA",
   VLOOKUP(O216,MAESTRO!M:O,2,FALSE),
   VLOOKUP(O216,MAESTRO!M:O,3,FALSE)
)</f>
        <v>#N/A</v>
      </c>
      <c r="Q216" s="148"/>
      <c r="R216" s="148" t="e">
        <f>VLOOKUP(Q216,MAESTRO!$P$5:$Q$8,2,FALSE)</f>
        <v>#N/A</v>
      </c>
      <c r="S216" s="149" t="str">
        <f t="shared" si="1"/>
        <v>NO ES TITULAR</v>
      </c>
      <c r="T216" s="154" t="str">
        <f t="shared" si="2"/>
        <v>NO ES TITULAR</v>
      </c>
      <c r="U216" s="157"/>
      <c r="V216" s="155"/>
      <c r="W216" s="140"/>
    </row>
    <row r="217" spans="1:23" ht="15.75" customHeight="1">
      <c r="A217" s="148"/>
      <c r="B217" s="148"/>
      <c r="C217" s="158" t="e">
        <f>VLOOKUP(B217,MAESTRO!$D$4:$E$10,2,FALSE)</f>
        <v>#N/A</v>
      </c>
      <c r="D217" s="145" t="e">
        <f t="shared" si="13"/>
        <v>#N/A</v>
      </c>
      <c r="E217" s="160"/>
      <c r="F217" s="140"/>
      <c r="G217" s="141" t="e">
        <f>VLOOKUP(F217,MAESTRO!$G$4:$H$14,2,FALSE)</f>
        <v>#N/A</v>
      </c>
      <c r="H217" s="140"/>
      <c r="I217" s="140"/>
      <c r="J217" s="143"/>
      <c r="K217" s="163"/>
      <c r="L217" s="145">
        <f t="shared" ca="1" si="11"/>
        <v>126</v>
      </c>
      <c r="M217" s="166"/>
      <c r="N217" s="144"/>
      <c r="O217" s="145">
        <f t="shared" si="12"/>
        <v>0</v>
      </c>
      <c r="P217" s="168" t="e">
        <f>IF(N217="PRIMERA",
   VLOOKUP(O217,MAESTRO!M:O,2,FALSE),
   VLOOKUP(O217,MAESTRO!M:O,3,FALSE)
)</f>
        <v>#N/A</v>
      </c>
      <c r="Q217" s="148"/>
      <c r="R217" s="148" t="e">
        <f>VLOOKUP(Q217,MAESTRO!$P$5:$Q$8,2,FALSE)</f>
        <v>#N/A</v>
      </c>
      <c r="S217" s="149" t="str">
        <f t="shared" si="1"/>
        <v>NO ES TITULAR</v>
      </c>
      <c r="T217" s="154" t="str">
        <f t="shared" si="2"/>
        <v>NO ES TITULAR</v>
      </c>
      <c r="U217" s="157"/>
      <c r="V217" s="155"/>
      <c r="W217" s="140"/>
    </row>
    <row r="218" spans="1:23" ht="15.75" customHeight="1">
      <c r="A218" s="148"/>
      <c r="B218" s="148"/>
      <c r="C218" s="158" t="e">
        <f>VLOOKUP(B218,MAESTRO!$D$4:$E$10,2,FALSE)</f>
        <v>#N/A</v>
      </c>
      <c r="D218" s="145" t="e">
        <f t="shared" si="13"/>
        <v>#N/A</v>
      </c>
      <c r="E218" s="160"/>
      <c r="F218" s="140"/>
      <c r="G218" s="141" t="e">
        <f>VLOOKUP(F218,MAESTRO!$G$4:$H$14,2,FALSE)</f>
        <v>#N/A</v>
      </c>
      <c r="H218" s="140"/>
      <c r="I218" s="140"/>
      <c r="J218" s="143"/>
      <c r="K218" s="163"/>
      <c r="L218" s="145">
        <f t="shared" ca="1" si="11"/>
        <v>126</v>
      </c>
      <c r="M218" s="166"/>
      <c r="N218" s="144"/>
      <c r="O218" s="145">
        <f t="shared" si="12"/>
        <v>0</v>
      </c>
      <c r="P218" s="168" t="e">
        <f>IF(N218="PRIMERA",
   VLOOKUP(O218,MAESTRO!M:O,2,FALSE),
   VLOOKUP(O218,MAESTRO!M:O,3,FALSE)
)</f>
        <v>#N/A</v>
      </c>
      <c r="Q218" s="148"/>
      <c r="R218" s="148" t="e">
        <f>VLOOKUP(Q218,MAESTRO!$P$5:$Q$8,2,FALSE)</f>
        <v>#N/A</v>
      </c>
      <c r="S218" s="149" t="str">
        <f t="shared" si="1"/>
        <v>NO ES TITULAR</v>
      </c>
      <c r="T218" s="154" t="str">
        <f t="shared" si="2"/>
        <v>NO ES TITULAR</v>
      </c>
      <c r="U218" s="157"/>
      <c r="V218" s="155"/>
      <c r="W218" s="140"/>
    </row>
    <row r="219" spans="1:23" ht="15.75" customHeight="1">
      <c r="A219" s="148"/>
      <c r="B219" s="148"/>
      <c r="C219" s="158" t="e">
        <f>VLOOKUP(B219,MAESTRO!$D$4:$E$10,2,FALSE)</f>
        <v>#N/A</v>
      </c>
      <c r="D219" s="145" t="e">
        <f t="shared" si="13"/>
        <v>#N/A</v>
      </c>
      <c r="E219" s="160"/>
      <c r="F219" s="140"/>
      <c r="G219" s="141" t="e">
        <f>VLOOKUP(F219,MAESTRO!$G$4:$H$14,2,FALSE)</f>
        <v>#N/A</v>
      </c>
      <c r="H219" s="140"/>
      <c r="I219" s="140"/>
      <c r="J219" s="143"/>
      <c r="K219" s="163"/>
      <c r="L219" s="145">
        <f t="shared" ca="1" si="11"/>
        <v>126</v>
      </c>
      <c r="M219" s="166"/>
      <c r="N219" s="144"/>
      <c r="O219" s="145">
        <f t="shared" si="12"/>
        <v>0</v>
      </c>
      <c r="P219" s="168" t="e">
        <f>IF(N219="PRIMERA",
   VLOOKUP(O219,MAESTRO!M:O,2,FALSE),
   VLOOKUP(O219,MAESTRO!M:O,3,FALSE)
)</f>
        <v>#N/A</v>
      </c>
      <c r="Q219" s="148"/>
      <c r="R219" s="148" t="e">
        <f>VLOOKUP(Q219,MAESTRO!$P$5:$Q$8,2,FALSE)</f>
        <v>#N/A</v>
      </c>
      <c r="S219" s="149" t="str">
        <f t="shared" si="1"/>
        <v>NO ES TITULAR</v>
      </c>
      <c r="T219" s="154" t="str">
        <f t="shared" si="2"/>
        <v>NO ES TITULAR</v>
      </c>
      <c r="U219" s="157"/>
      <c r="V219" s="155"/>
      <c r="W219" s="140"/>
    </row>
    <row r="220" spans="1:23" ht="15.75" customHeight="1">
      <c r="A220" s="148"/>
      <c r="B220" s="148"/>
      <c r="C220" s="158" t="e">
        <f>VLOOKUP(B220,MAESTRO!$D$4:$E$10,2,FALSE)</f>
        <v>#N/A</v>
      </c>
      <c r="D220" s="145" t="e">
        <f t="shared" si="13"/>
        <v>#N/A</v>
      </c>
      <c r="E220" s="160"/>
      <c r="F220" s="140"/>
      <c r="G220" s="141" t="e">
        <f>VLOOKUP(F220,MAESTRO!$G$4:$H$14,2,FALSE)</f>
        <v>#N/A</v>
      </c>
      <c r="H220" s="140"/>
      <c r="I220" s="140"/>
      <c r="J220" s="143"/>
      <c r="K220" s="163"/>
      <c r="L220" s="145">
        <f t="shared" ca="1" si="11"/>
        <v>126</v>
      </c>
      <c r="M220" s="166"/>
      <c r="N220" s="144"/>
      <c r="O220" s="145">
        <f t="shared" si="12"/>
        <v>0</v>
      </c>
      <c r="P220" s="168" t="e">
        <f>IF(N220="PRIMERA",
   VLOOKUP(O220,MAESTRO!M:O,2,FALSE),
   VLOOKUP(O220,MAESTRO!M:O,3,FALSE)
)</f>
        <v>#N/A</v>
      </c>
      <c r="Q220" s="148"/>
      <c r="R220" s="148" t="e">
        <f>VLOOKUP(Q220,MAESTRO!$P$5:$Q$8,2,FALSE)</f>
        <v>#N/A</v>
      </c>
      <c r="S220" s="149" t="str">
        <f t="shared" si="1"/>
        <v>NO ES TITULAR</v>
      </c>
      <c r="T220" s="154" t="str">
        <f t="shared" si="2"/>
        <v>NO ES TITULAR</v>
      </c>
      <c r="U220" s="157"/>
      <c r="V220" s="155"/>
      <c r="W220" s="140"/>
    </row>
    <row r="221" spans="1:23" ht="15.75" customHeight="1">
      <c r="A221" s="148"/>
      <c r="B221" s="148"/>
      <c r="C221" s="158" t="e">
        <f>VLOOKUP(B221,MAESTRO!$D$4:$E$10,2,FALSE)</f>
        <v>#N/A</v>
      </c>
      <c r="D221" s="145" t="e">
        <f t="shared" si="13"/>
        <v>#N/A</v>
      </c>
      <c r="E221" s="160"/>
      <c r="F221" s="140"/>
      <c r="G221" s="141" t="e">
        <f>VLOOKUP(F221,MAESTRO!$G$4:$H$14,2,FALSE)</f>
        <v>#N/A</v>
      </c>
      <c r="H221" s="140"/>
      <c r="I221" s="140"/>
      <c r="J221" s="143"/>
      <c r="K221" s="163"/>
      <c r="L221" s="145">
        <f t="shared" ca="1" si="11"/>
        <v>126</v>
      </c>
      <c r="M221" s="166"/>
      <c r="N221" s="144"/>
      <c r="O221" s="145">
        <f t="shared" si="12"/>
        <v>0</v>
      </c>
      <c r="P221" s="168" t="e">
        <f>IF(N221="PRIMERA",
   VLOOKUP(O221,MAESTRO!M:O,2,FALSE),
   VLOOKUP(O221,MAESTRO!M:O,3,FALSE)
)</f>
        <v>#N/A</v>
      </c>
      <c r="Q221" s="148"/>
      <c r="R221" s="148" t="e">
        <f>VLOOKUP(Q221,MAESTRO!$P$5:$Q$8,2,FALSE)</f>
        <v>#N/A</v>
      </c>
      <c r="S221" s="149" t="str">
        <f t="shared" si="1"/>
        <v>NO ES TITULAR</v>
      </c>
      <c r="T221" s="154" t="str">
        <f t="shared" si="2"/>
        <v>NO ES TITULAR</v>
      </c>
      <c r="U221" s="157"/>
      <c r="V221" s="155"/>
      <c r="W221" s="140"/>
    </row>
    <row r="222" spans="1:23" ht="15.75" customHeight="1">
      <c r="A222" s="148"/>
      <c r="B222" s="148"/>
      <c r="C222" s="158" t="e">
        <f>VLOOKUP(B222,MAESTRO!$D$4:$E$10,2,FALSE)</f>
        <v>#N/A</v>
      </c>
      <c r="D222" s="145" t="e">
        <f t="shared" si="13"/>
        <v>#N/A</v>
      </c>
      <c r="E222" s="160"/>
      <c r="F222" s="140"/>
      <c r="G222" s="141" t="e">
        <f>VLOOKUP(F222,MAESTRO!$G$4:$H$14,2,FALSE)</f>
        <v>#N/A</v>
      </c>
      <c r="H222" s="140"/>
      <c r="I222" s="140"/>
      <c r="J222" s="143"/>
      <c r="K222" s="163"/>
      <c r="L222" s="145">
        <f t="shared" ca="1" si="11"/>
        <v>126</v>
      </c>
      <c r="M222" s="166"/>
      <c r="N222" s="144"/>
      <c r="O222" s="145">
        <f t="shared" si="12"/>
        <v>0</v>
      </c>
      <c r="P222" s="168" t="e">
        <f>IF(N222="PRIMERA",
   VLOOKUP(O222,MAESTRO!M:O,2,FALSE),
   VLOOKUP(O222,MAESTRO!M:O,3,FALSE)
)</f>
        <v>#N/A</v>
      </c>
      <c r="Q222" s="148"/>
      <c r="R222" s="148" t="e">
        <f>VLOOKUP(Q222,MAESTRO!$P$5:$Q$8,2,FALSE)</f>
        <v>#N/A</v>
      </c>
      <c r="S222" s="149" t="str">
        <f t="shared" si="1"/>
        <v>NO ES TITULAR</v>
      </c>
      <c r="T222" s="154" t="str">
        <f t="shared" si="2"/>
        <v>NO ES TITULAR</v>
      </c>
      <c r="U222" s="157"/>
      <c r="V222" s="155"/>
      <c r="W222" s="140"/>
    </row>
    <row r="223" spans="1:23" ht="15.75" customHeight="1">
      <c r="A223" s="148"/>
      <c r="B223" s="148"/>
      <c r="C223" s="158" t="e">
        <f>VLOOKUP(B223,MAESTRO!$D$4:$E$10,2,FALSE)</f>
        <v>#N/A</v>
      </c>
      <c r="D223" s="145" t="e">
        <f t="shared" si="13"/>
        <v>#N/A</v>
      </c>
      <c r="E223" s="160"/>
      <c r="F223" s="140"/>
      <c r="G223" s="141" t="e">
        <f>VLOOKUP(F223,MAESTRO!$G$4:$H$14,2,FALSE)</f>
        <v>#N/A</v>
      </c>
      <c r="H223" s="140"/>
      <c r="I223" s="140"/>
      <c r="J223" s="143"/>
      <c r="K223" s="163"/>
      <c r="L223" s="145">
        <f t="shared" ca="1" si="11"/>
        <v>126</v>
      </c>
      <c r="M223" s="166"/>
      <c r="N223" s="144"/>
      <c r="O223" s="145">
        <f t="shared" si="12"/>
        <v>0</v>
      </c>
      <c r="P223" s="168" t="e">
        <f>IF(N223="PRIMERA",
   VLOOKUP(O223,MAESTRO!M:O,2,FALSE),
   VLOOKUP(O223,MAESTRO!M:O,3,FALSE)
)</f>
        <v>#N/A</v>
      </c>
      <c r="Q223" s="148"/>
      <c r="R223" s="148" t="e">
        <f>VLOOKUP(Q223,MAESTRO!$P$5:$Q$8,2,FALSE)</f>
        <v>#N/A</v>
      </c>
      <c r="S223" s="149" t="str">
        <f t="shared" si="1"/>
        <v>NO ES TITULAR</v>
      </c>
      <c r="T223" s="154" t="str">
        <f t="shared" si="2"/>
        <v>NO ES TITULAR</v>
      </c>
      <c r="U223" s="157"/>
      <c r="V223" s="155"/>
      <c r="W223" s="140"/>
    </row>
    <row r="224" spans="1:23" ht="15.75" customHeight="1">
      <c r="A224" s="148"/>
      <c r="B224" s="148"/>
      <c r="C224" s="158" t="e">
        <f>VLOOKUP(B224,MAESTRO!$D$4:$E$10,2,FALSE)</f>
        <v>#N/A</v>
      </c>
      <c r="D224" s="145" t="e">
        <f t="shared" si="13"/>
        <v>#N/A</v>
      </c>
      <c r="E224" s="160"/>
      <c r="F224" s="140"/>
      <c r="G224" s="141" t="e">
        <f>VLOOKUP(F224,MAESTRO!$G$4:$H$14,2,FALSE)</f>
        <v>#N/A</v>
      </c>
      <c r="H224" s="140"/>
      <c r="I224" s="140"/>
      <c r="J224" s="143"/>
      <c r="K224" s="163"/>
      <c r="L224" s="145">
        <f t="shared" ca="1" si="11"/>
        <v>126</v>
      </c>
      <c r="M224" s="166"/>
      <c r="N224" s="144"/>
      <c r="O224" s="145">
        <f t="shared" si="12"/>
        <v>0</v>
      </c>
      <c r="P224" s="168" t="e">
        <f>IF(N224="PRIMERA",
   VLOOKUP(O224,MAESTRO!M:O,2,FALSE),
   VLOOKUP(O224,MAESTRO!M:O,3,FALSE)
)</f>
        <v>#N/A</v>
      </c>
      <c r="Q224" s="148"/>
      <c r="R224" s="148" t="e">
        <f>VLOOKUP(Q224,MAESTRO!$P$5:$Q$8,2,FALSE)</f>
        <v>#N/A</v>
      </c>
      <c r="S224" s="149" t="str">
        <f t="shared" si="1"/>
        <v>NO ES TITULAR</v>
      </c>
      <c r="T224" s="154" t="str">
        <f t="shared" si="2"/>
        <v>NO ES TITULAR</v>
      </c>
      <c r="U224" s="157"/>
      <c r="V224" s="155"/>
      <c r="W224" s="140"/>
    </row>
    <row r="225" spans="1:23" ht="15.75" customHeight="1">
      <c r="A225" s="148"/>
      <c r="B225" s="148"/>
      <c r="C225" s="158" t="e">
        <f>VLOOKUP(B225,MAESTRO!$D$4:$E$10,2,FALSE)</f>
        <v>#N/A</v>
      </c>
      <c r="D225" s="145" t="e">
        <f t="shared" si="13"/>
        <v>#N/A</v>
      </c>
      <c r="E225" s="160"/>
      <c r="F225" s="140"/>
      <c r="G225" s="141" t="e">
        <f>VLOOKUP(F225,MAESTRO!$G$4:$H$14,2,FALSE)</f>
        <v>#N/A</v>
      </c>
      <c r="H225" s="140"/>
      <c r="I225" s="140"/>
      <c r="J225" s="143"/>
      <c r="K225" s="163"/>
      <c r="L225" s="145">
        <f t="shared" ca="1" si="11"/>
        <v>126</v>
      </c>
      <c r="M225" s="166"/>
      <c r="N225" s="144"/>
      <c r="O225" s="145">
        <f t="shared" si="12"/>
        <v>0</v>
      </c>
      <c r="P225" s="168" t="e">
        <f>IF(N225="PRIMERA",
   VLOOKUP(O225,MAESTRO!M:O,2,FALSE),
   VLOOKUP(O225,MAESTRO!M:O,3,FALSE)
)</f>
        <v>#N/A</v>
      </c>
      <c r="Q225" s="148"/>
      <c r="R225" s="148" t="e">
        <f>VLOOKUP(Q225,MAESTRO!$P$5:$Q$8,2,FALSE)</f>
        <v>#N/A</v>
      </c>
      <c r="S225" s="149" t="str">
        <f t="shared" si="1"/>
        <v>NO ES TITULAR</v>
      </c>
      <c r="T225" s="154" t="str">
        <f t="shared" si="2"/>
        <v>NO ES TITULAR</v>
      </c>
      <c r="U225" s="157"/>
      <c r="V225" s="155"/>
      <c r="W225" s="140"/>
    </row>
    <row r="226" spans="1:23" ht="15.75" customHeight="1">
      <c r="A226" s="148"/>
      <c r="B226" s="148"/>
      <c r="C226" s="158" t="e">
        <f>VLOOKUP(B226,MAESTRO!$D$4:$E$10,2,FALSE)</f>
        <v>#N/A</v>
      </c>
      <c r="D226" s="145" t="e">
        <f t="shared" si="13"/>
        <v>#N/A</v>
      </c>
      <c r="E226" s="160"/>
      <c r="F226" s="140"/>
      <c r="G226" s="141" t="e">
        <f>VLOOKUP(F226,MAESTRO!$G$4:$H$14,2,FALSE)</f>
        <v>#N/A</v>
      </c>
      <c r="H226" s="140"/>
      <c r="I226" s="140"/>
      <c r="J226" s="143"/>
      <c r="K226" s="163"/>
      <c r="L226" s="145">
        <f t="shared" ca="1" si="11"/>
        <v>126</v>
      </c>
      <c r="M226" s="166"/>
      <c r="N226" s="144"/>
      <c r="O226" s="145">
        <f t="shared" si="12"/>
        <v>0</v>
      </c>
      <c r="P226" s="168" t="e">
        <f>IF(N226="PRIMERA",
   VLOOKUP(O226,MAESTRO!M:O,2,FALSE),
   VLOOKUP(O226,MAESTRO!M:O,3,FALSE)
)</f>
        <v>#N/A</v>
      </c>
      <c r="Q226" s="148"/>
      <c r="R226" s="148" t="e">
        <f>VLOOKUP(Q226,MAESTRO!$P$5:$Q$8,2,FALSE)</f>
        <v>#N/A</v>
      </c>
      <c r="S226" s="149" t="str">
        <f t="shared" si="1"/>
        <v>NO ES TITULAR</v>
      </c>
      <c r="T226" s="154" t="str">
        <f t="shared" si="2"/>
        <v>NO ES TITULAR</v>
      </c>
      <c r="U226" s="157"/>
      <c r="V226" s="155"/>
      <c r="W226" s="140"/>
    </row>
    <row r="227" spans="1:23" ht="15.75" customHeight="1">
      <c r="A227" s="148"/>
      <c r="B227" s="148"/>
      <c r="C227" s="158" t="e">
        <f>VLOOKUP(B227,MAESTRO!$D$4:$E$10,2,FALSE)</f>
        <v>#N/A</v>
      </c>
      <c r="D227" s="145" t="e">
        <f t="shared" si="13"/>
        <v>#N/A</v>
      </c>
      <c r="E227" s="160"/>
      <c r="F227" s="140"/>
      <c r="G227" s="141" t="e">
        <f>VLOOKUP(F227,MAESTRO!$G$4:$H$14,2,FALSE)</f>
        <v>#N/A</v>
      </c>
      <c r="H227" s="140"/>
      <c r="I227" s="140"/>
      <c r="J227" s="143"/>
      <c r="K227" s="163"/>
      <c r="L227" s="145">
        <f t="shared" ca="1" si="11"/>
        <v>126</v>
      </c>
      <c r="M227" s="166"/>
      <c r="N227" s="144"/>
      <c r="O227" s="145">
        <f t="shared" si="12"/>
        <v>0</v>
      </c>
      <c r="P227" s="168" t="e">
        <f>IF(N227="PRIMERA",
   VLOOKUP(O227,MAESTRO!M:O,2,FALSE),
   VLOOKUP(O227,MAESTRO!M:O,3,FALSE)
)</f>
        <v>#N/A</v>
      </c>
      <c r="Q227" s="148"/>
      <c r="R227" s="148" t="e">
        <f>VLOOKUP(Q227,MAESTRO!$P$5:$Q$8,2,FALSE)</f>
        <v>#N/A</v>
      </c>
      <c r="S227" s="149" t="str">
        <f t="shared" si="1"/>
        <v>NO ES TITULAR</v>
      </c>
      <c r="T227" s="154" t="str">
        <f t="shared" si="2"/>
        <v>NO ES TITULAR</v>
      </c>
      <c r="U227" s="157"/>
      <c r="V227" s="155"/>
      <c r="W227" s="140"/>
    </row>
    <row r="228" spans="1:23" ht="15.75" customHeight="1">
      <c r="A228" s="148"/>
      <c r="B228" s="148"/>
      <c r="C228" s="158" t="e">
        <f>VLOOKUP(B228,MAESTRO!$D$4:$E$10,2,FALSE)</f>
        <v>#N/A</v>
      </c>
      <c r="D228" s="145" t="e">
        <f t="shared" si="13"/>
        <v>#N/A</v>
      </c>
      <c r="E228" s="160"/>
      <c r="F228" s="140"/>
      <c r="G228" s="141" t="e">
        <f>VLOOKUP(F228,MAESTRO!$G$4:$H$14,2,FALSE)</f>
        <v>#N/A</v>
      </c>
      <c r="H228" s="140"/>
      <c r="I228" s="140"/>
      <c r="J228" s="143"/>
      <c r="K228" s="163"/>
      <c r="L228" s="145">
        <f t="shared" ca="1" si="11"/>
        <v>126</v>
      </c>
      <c r="M228" s="166"/>
      <c r="N228" s="144"/>
      <c r="O228" s="145">
        <f t="shared" si="12"/>
        <v>0</v>
      </c>
      <c r="P228" s="168" t="e">
        <f>IF(N228="PRIMERA",
   VLOOKUP(O228,MAESTRO!M:O,2,FALSE),
   VLOOKUP(O228,MAESTRO!M:O,3,FALSE)
)</f>
        <v>#N/A</v>
      </c>
      <c r="Q228" s="148"/>
      <c r="R228" s="148" t="e">
        <f>VLOOKUP(Q228,MAESTRO!$P$5:$Q$8,2,FALSE)</f>
        <v>#N/A</v>
      </c>
      <c r="S228" s="149" t="str">
        <f t="shared" si="1"/>
        <v>NO ES TITULAR</v>
      </c>
      <c r="T228" s="154" t="str">
        <f t="shared" si="2"/>
        <v>NO ES TITULAR</v>
      </c>
      <c r="U228" s="157"/>
      <c r="V228" s="155"/>
      <c r="W228" s="140"/>
    </row>
    <row r="229" spans="1:23" ht="15.75" customHeight="1">
      <c r="A229" s="148"/>
      <c r="B229" s="148"/>
      <c r="C229" s="158" t="e">
        <f>VLOOKUP(B229,MAESTRO!$D$4:$E$10,2,FALSE)</f>
        <v>#N/A</v>
      </c>
      <c r="D229" s="145" t="e">
        <f t="shared" si="13"/>
        <v>#N/A</v>
      </c>
      <c r="E229" s="160"/>
      <c r="F229" s="140"/>
      <c r="G229" s="141" t="e">
        <f>VLOOKUP(F229,MAESTRO!$G$4:$H$14,2,FALSE)</f>
        <v>#N/A</v>
      </c>
      <c r="H229" s="140"/>
      <c r="I229" s="140"/>
      <c r="J229" s="143"/>
      <c r="K229" s="163"/>
      <c r="L229" s="145">
        <f t="shared" ca="1" si="11"/>
        <v>126</v>
      </c>
      <c r="M229" s="166"/>
      <c r="N229" s="144"/>
      <c r="O229" s="145">
        <f t="shared" si="12"/>
        <v>0</v>
      </c>
      <c r="P229" s="168" t="e">
        <f>IF(N229="PRIMERA",
   VLOOKUP(O229,MAESTRO!M:O,2,FALSE),
   VLOOKUP(O229,MAESTRO!M:O,3,FALSE)
)</f>
        <v>#N/A</v>
      </c>
      <c r="Q229" s="148"/>
      <c r="R229" s="148" t="e">
        <f>VLOOKUP(Q229,MAESTRO!$P$5:$Q$8,2,FALSE)</f>
        <v>#N/A</v>
      </c>
      <c r="S229" s="149" t="str">
        <f t="shared" si="1"/>
        <v>NO ES TITULAR</v>
      </c>
      <c r="T229" s="154" t="str">
        <f t="shared" si="2"/>
        <v>NO ES TITULAR</v>
      </c>
      <c r="U229" s="157"/>
      <c r="V229" s="155"/>
      <c r="W229" s="140"/>
    </row>
    <row r="230" spans="1:23" ht="15.75" customHeight="1">
      <c r="A230" s="148"/>
      <c r="B230" s="148"/>
      <c r="C230" s="158" t="e">
        <f>VLOOKUP(B230,MAESTRO!$D$4:$E$10,2,FALSE)</f>
        <v>#N/A</v>
      </c>
      <c r="D230" s="145" t="e">
        <f t="shared" si="13"/>
        <v>#N/A</v>
      </c>
      <c r="E230" s="160"/>
      <c r="F230" s="140"/>
      <c r="G230" s="141" t="e">
        <f>VLOOKUP(F230,MAESTRO!$G$4:$H$14,2,FALSE)</f>
        <v>#N/A</v>
      </c>
      <c r="H230" s="140"/>
      <c r="I230" s="140"/>
      <c r="J230" s="143"/>
      <c r="K230" s="163"/>
      <c r="L230" s="145">
        <f t="shared" ca="1" si="11"/>
        <v>126</v>
      </c>
      <c r="M230" s="166"/>
      <c r="N230" s="144"/>
      <c r="O230" s="145">
        <f t="shared" si="12"/>
        <v>0</v>
      </c>
      <c r="P230" s="168" t="e">
        <f>IF(N230="PRIMERA",
   VLOOKUP(O230,MAESTRO!M:O,2,FALSE),
   VLOOKUP(O230,MAESTRO!M:O,3,FALSE)
)</f>
        <v>#N/A</v>
      </c>
      <c r="Q230" s="148"/>
      <c r="R230" s="148" t="e">
        <f>VLOOKUP(Q230,MAESTRO!$P$5:$Q$8,2,FALSE)</f>
        <v>#N/A</v>
      </c>
      <c r="S230" s="149" t="str">
        <f t="shared" si="1"/>
        <v>NO ES TITULAR</v>
      </c>
      <c r="T230" s="154" t="str">
        <f t="shared" si="2"/>
        <v>NO ES TITULAR</v>
      </c>
      <c r="U230" s="157"/>
      <c r="V230" s="155"/>
      <c r="W230" s="140"/>
    </row>
    <row r="231" spans="1:23" ht="15.75" customHeight="1">
      <c r="A231" s="148"/>
      <c r="B231" s="148"/>
      <c r="C231" s="158" t="e">
        <f>VLOOKUP(B231,MAESTRO!$D$4:$E$10,2,FALSE)</f>
        <v>#N/A</v>
      </c>
      <c r="D231" s="145" t="e">
        <f t="shared" si="13"/>
        <v>#N/A</v>
      </c>
      <c r="E231" s="160"/>
      <c r="F231" s="140"/>
      <c r="G231" s="141" t="e">
        <f>VLOOKUP(F231,MAESTRO!$G$4:$H$14,2,FALSE)</f>
        <v>#N/A</v>
      </c>
      <c r="H231" s="140"/>
      <c r="I231" s="140"/>
      <c r="J231" s="143"/>
      <c r="K231" s="163"/>
      <c r="L231" s="145">
        <f t="shared" ca="1" si="11"/>
        <v>126</v>
      </c>
      <c r="M231" s="166"/>
      <c r="N231" s="144"/>
      <c r="O231" s="145">
        <f t="shared" si="12"/>
        <v>0</v>
      </c>
      <c r="P231" s="168" t="e">
        <f>IF(N231="PRIMERA",
   VLOOKUP(O231,MAESTRO!M:O,2,FALSE),
   VLOOKUP(O231,MAESTRO!M:O,3,FALSE)
)</f>
        <v>#N/A</v>
      </c>
      <c r="Q231" s="148"/>
      <c r="R231" s="148" t="e">
        <f>VLOOKUP(Q231,MAESTRO!$P$5:$Q$8,2,FALSE)</f>
        <v>#N/A</v>
      </c>
      <c r="S231" s="149" t="str">
        <f t="shared" si="1"/>
        <v>NO ES TITULAR</v>
      </c>
      <c r="T231" s="154" t="str">
        <f t="shared" si="2"/>
        <v>NO ES TITULAR</v>
      </c>
      <c r="U231" s="157"/>
      <c r="V231" s="155"/>
      <c r="W231" s="140"/>
    </row>
    <row r="232" spans="1:23" ht="15.75" customHeight="1">
      <c r="A232" s="148"/>
      <c r="B232" s="148"/>
      <c r="C232" s="158" t="e">
        <f>VLOOKUP(B232,MAESTRO!$D$4:$E$10,2,FALSE)</f>
        <v>#N/A</v>
      </c>
      <c r="D232" s="145" t="e">
        <f t="shared" si="13"/>
        <v>#N/A</v>
      </c>
      <c r="E232" s="160"/>
      <c r="F232" s="140"/>
      <c r="G232" s="141" t="e">
        <f>VLOOKUP(F232,MAESTRO!$G$4:$H$14,2,FALSE)</f>
        <v>#N/A</v>
      </c>
      <c r="H232" s="140"/>
      <c r="I232" s="140"/>
      <c r="J232" s="143"/>
      <c r="K232" s="163"/>
      <c r="L232" s="145">
        <f t="shared" ca="1" si="11"/>
        <v>126</v>
      </c>
      <c r="M232" s="166"/>
      <c r="N232" s="144"/>
      <c r="O232" s="145">
        <f t="shared" si="12"/>
        <v>0</v>
      </c>
      <c r="P232" s="168" t="e">
        <f>IF(N232="PRIMERA",
   VLOOKUP(O232,MAESTRO!M:O,2,FALSE),
   VLOOKUP(O232,MAESTRO!M:O,3,FALSE)
)</f>
        <v>#N/A</v>
      </c>
      <c r="Q232" s="148"/>
      <c r="R232" s="148" t="e">
        <f>VLOOKUP(Q232,MAESTRO!$P$5:$Q$8,2,FALSE)</f>
        <v>#N/A</v>
      </c>
      <c r="S232" s="149" t="str">
        <f t="shared" si="1"/>
        <v>NO ES TITULAR</v>
      </c>
      <c r="T232" s="154" t="str">
        <f t="shared" si="2"/>
        <v>NO ES TITULAR</v>
      </c>
      <c r="U232" s="157"/>
      <c r="V232" s="155"/>
      <c r="W232" s="140"/>
    </row>
    <row r="233" spans="1:23" ht="15.75" customHeight="1">
      <c r="A233" s="148"/>
      <c r="B233" s="148"/>
      <c r="C233" s="158" t="e">
        <f>VLOOKUP(B233,MAESTRO!$D$4:$E$10,2,FALSE)</f>
        <v>#N/A</v>
      </c>
      <c r="D233" s="145" t="e">
        <f t="shared" si="13"/>
        <v>#N/A</v>
      </c>
      <c r="E233" s="160"/>
      <c r="F233" s="140"/>
      <c r="G233" s="141" t="e">
        <f>VLOOKUP(F233,MAESTRO!$G$4:$H$14,2,FALSE)</f>
        <v>#N/A</v>
      </c>
      <c r="H233" s="140"/>
      <c r="I233" s="140"/>
      <c r="J233" s="143"/>
      <c r="K233" s="163"/>
      <c r="L233" s="145">
        <f t="shared" ca="1" si="11"/>
        <v>126</v>
      </c>
      <c r="M233" s="166"/>
      <c r="N233" s="144"/>
      <c r="O233" s="145">
        <f t="shared" si="12"/>
        <v>0</v>
      </c>
      <c r="P233" s="168" t="e">
        <f>IF(N233="PRIMERA",
   VLOOKUP(O233,MAESTRO!M:O,2,FALSE),
   VLOOKUP(O233,MAESTRO!M:O,3,FALSE)
)</f>
        <v>#N/A</v>
      </c>
      <c r="Q233" s="148"/>
      <c r="R233" s="148" t="e">
        <f>VLOOKUP(Q233,MAESTRO!$P$5:$Q$8,2,FALSE)</f>
        <v>#N/A</v>
      </c>
      <c r="S233" s="149" t="str">
        <f t="shared" si="1"/>
        <v>NO ES TITULAR</v>
      </c>
      <c r="T233" s="154" t="str">
        <f t="shared" si="2"/>
        <v>NO ES TITULAR</v>
      </c>
      <c r="U233" s="157"/>
      <c r="V233" s="155"/>
      <c r="W233" s="140"/>
    </row>
    <row r="234" spans="1:23" ht="15.75" customHeight="1">
      <c r="A234" s="148"/>
      <c r="B234" s="148"/>
      <c r="C234" s="158" t="e">
        <f>VLOOKUP(B234,MAESTRO!$D$4:$E$10,2,FALSE)</f>
        <v>#N/A</v>
      </c>
      <c r="D234" s="145" t="e">
        <f t="shared" si="13"/>
        <v>#N/A</v>
      </c>
      <c r="E234" s="160"/>
      <c r="F234" s="140"/>
      <c r="G234" s="141" t="e">
        <f>VLOOKUP(F234,MAESTRO!$G$4:$H$14,2,FALSE)</f>
        <v>#N/A</v>
      </c>
      <c r="H234" s="140"/>
      <c r="I234" s="140"/>
      <c r="J234" s="143"/>
      <c r="K234" s="163"/>
      <c r="L234" s="145">
        <f t="shared" ca="1" si="11"/>
        <v>126</v>
      </c>
      <c r="M234" s="166"/>
      <c r="N234" s="144"/>
      <c r="O234" s="145">
        <f t="shared" si="12"/>
        <v>0</v>
      </c>
      <c r="P234" s="168" t="e">
        <f>IF(N234="PRIMERA",
   VLOOKUP(O234,MAESTRO!M:O,2,FALSE),
   VLOOKUP(O234,MAESTRO!M:O,3,FALSE)
)</f>
        <v>#N/A</v>
      </c>
      <c r="Q234" s="148"/>
      <c r="R234" s="148" t="e">
        <f>VLOOKUP(Q234,MAESTRO!$P$5:$Q$8,2,FALSE)</f>
        <v>#N/A</v>
      </c>
      <c r="S234" s="149" t="str">
        <f t="shared" si="1"/>
        <v>NO ES TITULAR</v>
      </c>
      <c r="T234" s="154" t="str">
        <f t="shared" si="2"/>
        <v>NO ES TITULAR</v>
      </c>
      <c r="U234" s="157"/>
      <c r="V234" s="155"/>
      <c r="W234" s="140"/>
    </row>
    <row r="235" spans="1:23" ht="15.75" customHeight="1">
      <c r="A235" s="148"/>
      <c r="B235" s="148"/>
      <c r="C235" s="158" t="e">
        <f>VLOOKUP(B235,MAESTRO!$D$4:$E$10,2,FALSE)</f>
        <v>#N/A</v>
      </c>
      <c r="D235" s="145" t="e">
        <f t="shared" si="13"/>
        <v>#N/A</v>
      </c>
      <c r="E235" s="160"/>
      <c r="F235" s="140"/>
      <c r="G235" s="141" t="e">
        <f>VLOOKUP(F235,MAESTRO!$G$4:$H$14,2,FALSE)</f>
        <v>#N/A</v>
      </c>
      <c r="H235" s="140"/>
      <c r="I235" s="140"/>
      <c r="J235" s="143"/>
      <c r="K235" s="163"/>
      <c r="L235" s="145">
        <f t="shared" ca="1" si="11"/>
        <v>126</v>
      </c>
      <c r="M235" s="166"/>
      <c r="N235" s="144"/>
      <c r="O235" s="145">
        <f t="shared" si="12"/>
        <v>0</v>
      </c>
      <c r="P235" s="168" t="e">
        <f>IF(N235="PRIMERA",
   VLOOKUP(O235,MAESTRO!M:O,2,FALSE),
   VLOOKUP(O235,MAESTRO!M:O,3,FALSE)
)</f>
        <v>#N/A</v>
      </c>
      <c r="Q235" s="148"/>
      <c r="R235" s="148" t="e">
        <f>VLOOKUP(Q235,MAESTRO!$P$5:$Q$8,2,FALSE)</f>
        <v>#N/A</v>
      </c>
      <c r="S235" s="149" t="str">
        <f t="shared" si="1"/>
        <v>NO ES TITULAR</v>
      </c>
      <c r="T235" s="154" t="str">
        <f t="shared" si="2"/>
        <v>NO ES TITULAR</v>
      </c>
      <c r="U235" s="157"/>
      <c r="V235" s="155"/>
      <c r="W235" s="140"/>
    </row>
    <row r="236" spans="1:23" ht="15.75" customHeight="1">
      <c r="A236" s="148"/>
      <c r="B236" s="148"/>
      <c r="C236" s="158" t="e">
        <f>VLOOKUP(B236,MAESTRO!$D$4:$E$10,2,FALSE)</f>
        <v>#N/A</v>
      </c>
      <c r="D236" s="145" t="e">
        <f t="shared" si="13"/>
        <v>#N/A</v>
      </c>
      <c r="E236" s="160"/>
      <c r="F236" s="140"/>
      <c r="G236" s="141" t="e">
        <f>VLOOKUP(F236,MAESTRO!$G$4:$H$14,2,FALSE)</f>
        <v>#N/A</v>
      </c>
      <c r="H236" s="140"/>
      <c r="I236" s="140"/>
      <c r="J236" s="143"/>
      <c r="K236" s="163"/>
      <c r="L236" s="145">
        <f t="shared" ca="1" si="11"/>
        <v>126</v>
      </c>
      <c r="M236" s="166"/>
      <c r="N236" s="144"/>
      <c r="O236" s="145">
        <f t="shared" si="12"/>
        <v>0</v>
      </c>
      <c r="P236" s="168" t="e">
        <f>IF(N236="PRIMERA",
   VLOOKUP(O236,MAESTRO!M:O,2,FALSE),
   VLOOKUP(O236,MAESTRO!M:O,3,FALSE)
)</f>
        <v>#N/A</v>
      </c>
      <c r="Q236" s="148"/>
      <c r="R236" s="148" t="e">
        <f>VLOOKUP(Q236,MAESTRO!$P$5:$Q$8,2,FALSE)</f>
        <v>#N/A</v>
      </c>
      <c r="S236" s="149" t="str">
        <f t="shared" si="1"/>
        <v>NO ES TITULAR</v>
      </c>
      <c r="T236" s="154" t="str">
        <f t="shared" si="2"/>
        <v>NO ES TITULAR</v>
      </c>
      <c r="U236" s="157"/>
      <c r="V236" s="155"/>
      <c r="W236" s="140"/>
    </row>
    <row r="237" spans="1:23" ht="15.75" customHeight="1">
      <c r="A237" s="148"/>
      <c r="B237" s="148"/>
      <c r="C237" s="158" t="e">
        <f>VLOOKUP(B237,MAESTRO!$D$4:$E$10,2,FALSE)</f>
        <v>#N/A</v>
      </c>
      <c r="D237" s="145" t="e">
        <f t="shared" si="13"/>
        <v>#N/A</v>
      </c>
      <c r="E237" s="160"/>
      <c r="F237" s="140"/>
      <c r="G237" s="141" t="e">
        <f>VLOOKUP(F237,MAESTRO!$G$4:$H$14,2,FALSE)</f>
        <v>#N/A</v>
      </c>
      <c r="H237" s="140"/>
      <c r="I237" s="140"/>
      <c r="J237" s="143"/>
      <c r="K237" s="163"/>
      <c r="L237" s="145">
        <f t="shared" ca="1" si="11"/>
        <v>126</v>
      </c>
      <c r="M237" s="166"/>
      <c r="N237" s="144"/>
      <c r="O237" s="145">
        <f t="shared" si="12"/>
        <v>0</v>
      </c>
      <c r="P237" s="168" t="e">
        <f>IF(N237="PRIMERA",
   VLOOKUP(O237,MAESTRO!M:O,2,FALSE),
   VLOOKUP(O237,MAESTRO!M:O,3,FALSE)
)</f>
        <v>#N/A</v>
      </c>
      <c r="Q237" s="148"/>
      <c r="R237" s="148" t="e">
        <f>VLOOKUP(Q237,MAESTRO!$P$5:$Q$8,2,FALSE)</f>
        <v>#N/A</v>
      </c>
      <c r="S237" s="149" t="str">
        <f t="shared" si="1"/>
        <v>NO ES TITULAR</v>
      </c>
      <c r="T237" s="154" t="str">
        <f t="shared" si="2"/>
        <v>NO ES TITULAR</v>
      </c>
      <c r="U237" s="157"/>
      <c r="V237" s="155"/>
      <c r="W237" s="140"/>
    </row>
    <row r="238" spans="1:23" ht="15.75" customHeight="1">
      <c r="A238" s="148"/>
      <c r="B238" s="148"/>
      <c r="C238" s="158" t="e">
        <f>VLOOKUP(B238,MAESTRO!$D$4:$E$10,2,FALSE)</f>
        <v>#N/A</v>
      </c>
      <c r="D238" s="145" t="e">
        <f t="shared" si="13"/>
        <v>#N/A</v>
      </c>
      <c r="E238" s="160"/>
      <c r="F238" s="140"/>
      <c r="G238" s="141" t="e">
        <f>VLOOKUP(F238,MAESTRO!$G$4:$H$14,2,FALSE)</f>
        <v>#N/A</v>
      </c>
      <c r="H238" s="140"/>
      <c r="I238" s="140"/>
      <c r="J238" s="143"/>
      <c r="K238" s="163"/>
      <c r="L238" s="145">
        <f t="shared" ca="1" si="11"/>
        <v>126</v>
      </c>
      <c r="M238" s="166"/>
      <c r="N238" s="144"/>
      <c r="O238" s="145">
        <f t="shared" si="12"/>
        <v>0</v>
      </c>
      <c r="P238" s="168" t="e">
        <f>IF(N238="PRIMERA",
   VLOOKUP(O238,MAESTRO!M:O,2,FALSE),
   VLOOKUP(O238,MAESTRO!M:O,3,FALSE)
)</f>
        <v>#N/A</v>
      </c>
      <c r="Q238" s="148"/>
      <c r="R238" s="148" t="e">
        <f>VLOOKUP(Q238,MAESTRO!$P$5:$Q$8,2,FALSE)</f>
        <v>#N/A</v>
      </c>
      <c r="S238" s="149" t="str">
        <f t="shared" si="1"/>
        <v>NO ES TITULAR</v>
      </c>
      <c r="T238" s="154" t="str">
        <f t="shared" si="2"/>
        <v>NO ES TITULAR</v>
      </c>
      <c r="U238" s="157"/>
      <c r="V238" s="155"/>
      <c r="W238" s="140"/>
    </row>
    <row r="239" spans="1:23" ht="15.75" customHeight="1">
      <c r="A239" s="148"/>
      <c r="B239" s="148"/>
      <c r="C239" s="158" t="e">
        <f>VLOOKUP(B239,MAESTRO!$D$4:$E$10,2,FALSE)</f>
        <v>#N/A</v>
      </c>
      <c r="D239" s="145" t="e">
        <f t="shared" si="13"/>
        <v>#N/A</v>
      </c>
      <c r="E239" s="160"/>
      <c r="F239" s="140"/>
      <c r="G239" s="141" t="e">
        <f>VLOOKUP(F239,MAESTRO!$G$4:$H$14,2,FALSE)</f>
        <v>#N/A</v>
      </c>
      <c r="H239" s="140"/>
      <c r="I239" s="140"/>
      <c r="J239" s="143"/>
      <c r="K239" s="163"/>
      <c r="L239" s="145">
        <f t="shared" ca="1" si="11"/>
        <v>126</v>
      </c>
      <c r="M239" s="166"/>
      <c r="N239" s="144"/>
      <c r="O239" s="145">
        <f t="shared" si="12"/>
        <v>0</v>
      </c>
      <c r="P239" s="168" t="e">
        <f>IF(N239="PRIMERA",
   VLOOKUP(O239,MAESTRO!M:O,2,FALSE),
   VLOOKUP(O239,MAESTRO!M:O,3,FALSE)
)</f>
        <v>#N/A</v>
      </c>
      <c r="Q239" s="148"/>
      <c r="R239" s="148" t="e">
        <f>VLOOKUP(Q239,MAESTRO!$P$5:$Q$8,2,FALSE)</f>
        <v>#N/A</v>
      </c>
      <c r="S239" s="149" t="str">
        <f t="shared" si="1"/>
        <v>NO ES TITULAR</v>
      </c>
      <c r="T239" s="154" t="str">
        <f t="shared" si="2"/>
        <v>NO ES TITULAR</v>
      </c>
      <c r="U239" s="157"/>
      <c r="V239" s="155"/>
      <c r="W239" s="140"/>
    </row>
    <row r="240" spans="1:23" ht="15.75" customHeight="1">
      <c r="A240" s="148"/>
      <c r="B240" s="148"/>
      <c r="C240" s="158" t="e">
        <f>VLOOKUP(B240,MAESTRO!$D$4:$E$10,2,FALSE)</f>
        <v>#N/A</v>
      </c>
      <c r="D240" s="145" t="e">
        <f t="shared" si="13"/>
        <v>#N/A</v>
      </c>
      <c r="E240" s="160"/>
      <c r="F240" s="140"/>
      <c r="G240" s="141" t="e">
        <f>VLOOKUP(F240,MAESTRO!$G$4:$H$14,2,FALSE)</f>
        <v>#N/A</v>
      </c>
      <c r="H240" s="140"/>
      <c r="I240" s="140"/>
      <c r="J240" s="143"/>
      <c r="K240" s="163"/>
      <c r="L240" s="145">
        <f t="shared" ca="1" si="11"/>
        <v>126</v>
      </c>
      <c r="M240" s="166"/>
      <c r="N240" s="144"/>
      <c r="O240" s="145">
        <f t="shared" si="12"/>
        <v>0</v>
      </c>
      <c r="P240" s="168" t="e">
        <f>IF(N240="PRIMERA",
   VLOOKUP(O240,MAESTRO!M:O,2,FALSE),
   VLOOKUP(O240,MAESTRO!M:O,3,FALSE)
)</f>
        <v>#N/A</v>
      </c>
      <c r="Q240" s="148"/>
      <c r="R240" s="148" t="e">
        <f>VLOOKUP(Q240,MAESTRO!$P$5:$Q$8,2,FALSE)</f>
        <v>#N/A</v>
      </c>
      <c r="S240" s="149" t="str">
        <f t="shared" si="1"/>
        <v>NO ES TITULAR</v>
      </c>
      <c r="T240" s="154" t="str">
        <f t="shared" si="2"/>
        <v>NO ES TITULAR</v>
      </c>
      <c r="U240" s="157"/>
      <c r="V240" s="155"/>
      <c r="W240" s="140"/>
    </row>
    <row r="241" spans="1:23" ht="15.75" customHeight="1">
      <c r="A241" s="148"/>
      <c r="B241" s="148"/>
      <c r="C241" s="158" t="e">
        <f>VLOOKUP(B241,MAESTRO!$D$4:$E$10,2,FALSE)</f>
        <v>#N/A</v>
      </c>
      <c r="D241" s="145" t="e">
        <f t="shared" si="13"/>
        <v>#N/A</v>
      </c>
      <c r="E241" s="160"/>
      <c r="F241" s="140"/>
      <c r="G241" s="141" t="e">
        <f>VLOOKUP(F241,MAESTRO!$G$4:$H$14,2,FALSE)</f>
        <v>#N/A</v>
      </c>
      <c r="H241" s="140"/>
      <c r="I241" s="140"/>
      <c r="J241" s="143"/>
      <c r="K241" s="163"/>
      <c r="L241" s="145">
        <f t="shared" ca="1" si="11"/>
        <v>126</v>
      </c>
      <c r="M241" s="166"/>
      <c r="N241" s="144"/>
      <c r="O241" s="145">
        <f t="shared" si="12"/>
        <v>0</v>
      </c>
      <c r="P241" s="168" t="e">
        <f>IF(N241="PRIMERA",
   VLOOKUP(O241,MAESTRO!M:O,2,FALSE),
   VLOOKUP(O241,MAESTRO!M:O,3,FALSE)
)</f>
        <v>#N/A</v>
      </c>
      <c r="Q241" s="148"/>
      <c r="R241" s="148" t="e">
        <f>VLOOKUP(Q241,MAESTRO!$P$5:$Q$8,2,FALSE)</f>
        <v>#N/A</v>
      </c>
      <c r="S241" s="149" t="str">
        <f t="shared" si="1"/>
        <v>NO ES TITULAR</v>
      </c>
      <c r="T241" s="154" t="str">
        <f t="shared" si="2"/>
        <v>NO ES TITULAR</v>
      </c>
      <c r="U241" s="157"/>
      <c r="V241" s="155"/>
      <c r="W241" s="140"/>
    </row>
    <row r="242" spans="1:23" ht="15.75" customHeight="1">
      <c r="A242" s="148"/>
      <c r="B242" s="148"/>
      <c r="C242" s="158" t="e">
        <f>VLOOKUP(B242,MAESTRO!$D$4:$E$10,2,FALSE)</f>
        <v>#N/A</v>
      </c>
      <c r="D242" s="145" t="e">
        <f t="shared" si="13"/>
        <v>#N/A</v>
      </c>
      <c r="E242" s="160"/>
      <c r="F242" s="140"/>
      <c r="G242" s="141" t="e">
        <f>VLOOKUP(F242,MAESTRO!$G$4:$H$14,2,FALSE)</f>
        <v>#N/A</v>
      </c>
      <c r="H242" s="140"/>
      <c r="I242" s="140"/>
      <c r="J242" s="143"/>
      <c r="K242" s="163"/>
      <c r="L242" s="145">
        <f t="shared" ca="1" si="11"/>
        <v>126</v>
      </c>
      <c r="M242" s="166"/>
      <c r="N242" s="144"/>
      <c r="O242" s="145">
        <f t="shared" si="12"/>
        <v>0</v>
      </c>
      <c r="P242" s="168" t="e">
        <f>IF(N242="PRIMERA",
   VLOOKUP(O242,MAESTRO!M:O,2,FALSE),
   VLOOKUP(O242,MAESTRO!M:O,3,FALSE)
)</f>
        <v>#N/A</v>
      </c>
      <c r="Q242" s="148"/>
      <c r="R242" s="148" t="e">
        <f>VLOOKUP(Q242,MAESTRO!$P$5:$Q$8,2,FALSE)</f>
        <v>#N/A</v>
      </c>
      <c r="S242" s="149" t="str">
        <f t="shared" si="1"/>
        <v>NO ES TITULAR</v>
      </c>
      <c r="T242" s="154" t="str">
        <f t="shared" si="2"/>
        <v>NO ES TITULAR</v>
      </c>
      <c r="U242" s="157"/>
      <c r="V242" s="155"/>
      <c r="W242" s="140"/>
    </row>
    <row r="243" spans="1:23" ht="15.75" customHeight="1">
      <c r="A243" s="148"/>
      <c r="B243" s="148"/>
      <c r="C243" s="158" t="e">
        <f>VLOOKUP(B243,MAESTRO!$D$4:$E$10,2,FALSE)</f>
        <v>#N/A</v>
      </c>
      <c r="D243" s="145" t="e">
        <f t="shared" si="13"/>
        <v>#N/A</v>
      </c>
      <c r="E243" s="160"/>
      <c r="F243" s="140"/>
      <c r="G243" s="141" t="e">
        <f>VLOOKUP(F243,MAESTRO!$G$4:$H$14,2,FALSE)</f>
        <v>#N/A</v>
      </c>
      <c r="H243" s="140"/>
      <c r="I243" s="140"/>
      <c r="J243" s="143"/>
      <c r="K243" s="163"/>
      <c r="L243" s="145">
        <f t="shared" ca="1" si="11"/>
        <v>126</v>
      </c>
      <c r="M243" s="166"/>
      <c r="N243" s="144"/>
      <c r="O243" s="145">
        <f t="shared" si="12"/>
        <v>0</v>
      </c>
      <c r="P243" s="168" t="e">
        <f>IF(N243="PRIMERA",
   VLOOKUP(O243,MAESTRO!M:O,2,FALSE),
   VLOOKUP(O243,MAESTRO!M:O,3,FALSE)
)</f>
        <v>#N/A</v>
      </c>
      <c r="Q243" s="148"/>
      <c r="R243" s="148" t="e">
        <f>VLOOKUP(Q243,MAESTRO!$P$5:$Q$8,2,FALSE)</f>
        <v>#N/A</v>
      </c>
      <c r="S243" s="149" t="str">
        <f t="shared" si="1"/>
        <v>NO ES TITULAR</v>
      </c>
      <c r="T243" s="154" t="str">
        <f t="shared" si="2"/>
        <v>NO ES TITULAR</v>
      </c>
      <c r="U243" s="157"/>
      <c r="V243" s="155"/>
      <c r="W243" s="140"/>
    </row>
    <row r="244" spans="1:23" ht="15.75" customHeight="1">
      <c r="A244" s="148"/>
      <c r="B244" s="148"/>
      <c r="C244" s="158" t="e">
        <f>VLOOKUP(B244,MAESTRO!$D$4:$E$10,2,FALSE)</f>
        <v>#N/A</v>
      </c>
      <c r="D244" s="145" t="e">
        <f t="shared" si="13"/>
        <v>#N/A</v>
      </c>
      <c r="E244" s="160"/>
      <c r="F244" s="140"/>
      <c r="G244" s="141" t="e">
        <f>VLOOKUP(F244,MAESTRO!$G$4:$H$14,2,FALSE)</f>
        <v>#N/A</v>
      </c>
      <c r="H244" s="140"/>
      <c r="I244" s="140"/>
      <c r="J244" s="143"/>
      <c r="K244" s="163"/>
      <c r="L244" s="145">
        <f t="shared" ca="1" si="11"/>
        <v>126</v>
      </c>
      <c r="M244" s="166"/>
      <c r="N244" s="144"/>
      <c r="O244" s="145">
        <f t="shared" si="12"/>
        <v>0</v>
      </c>
      <c r="P244" s="168" t="e">
        <f>IF(N244="PRIMERA",
   VLOOKUP(O244,MAESTRO!M:O,2,FALSE),
   VLOOKUP(O244,MAESTRO!M:O,3,FALSE)
)</f>
        <v>#N/A</v>
      </c>
      <c r="Q244" s="148"/>
      <c r="R244" s="148" t="e">
        <f>VLOOKUP(Q244,MAESTRO!$P$5:$Q$8,2,FALSE)</f>
        <v>#N/A</v>
      </c>
      <c r="S244" s="149" t="str">
        <f t="shared" si="1"/>
        <v>NO ES TITULAR</v>
      </c>
      <c r="T244" s="154" t="str">
        <f t="shared" si="2"/>
        <v>NO ES TITULAR</v>
      </c>
      <c r="U244" s="157"/>
      <c r="V244" s="155"/>
      <c r="W244" s="140"/>
    </row>
    <row r="245" spans="1:23" ht="15.75" customHeight="1">
      <c r="A245" s="148"/>
      <c r="B245" s="148"/>
      <c r="C245" s="158" t="e">
        <f>VLOOKUP(B245,MAESTRO!$D$4:$E$10,2,FALSE)</f>
        <v>#N/A</v>
      </c>
      <c r="D245" s="145" t="e">
        <f t="shared" si="13"/>
        <v>#N/A</v>
      </c>
      <c r="E245" s="160"/>
      <c r="F245" s="140"/>
      <c r="G245" s="141" t="e">
        <f>VLOOKUP(F245,MAESTRO!$G$4:$H$14,2,FALSE)</f>
        <v>#N/A</v>
      </c>
      <c r="H245" s="140"/>
      <c r="I245" s="140"/>
      <c r="J245" s="143"/>
      <c r="K245" s="163"/>
      <c r="L245" s="145">
        <f t="shared" ca="1" si="11"/>
        <v>126</v>
      </c>
      <c r="M245" s="166"/>
      <c r="N245" s="144"/>
      <c r="O245" s="145">
        <f t="shared" si="12"/>
        <v>0</v>
      </c>
      <c r="P245" s="168" t="e">
        <f>IF(N245="PRIMERA",
   VLOOKUP(O245,MAESTRO!M:O,2,FALSE),
   VLOOKUP(O245,MAESTRO!M:O,3,FALSE)
)</f>
        <v>#N/A</v>
      </c>
      <c r="Q245" s="148"/>
      <c r="R245" s="148" t="e">
        <f>VLOOKUP(Q245,MAESTRO!$P$5:$Q$8,2,FALSE)</f>
        <v>#N/A</v>
      </c>
      <c r="S245" s="149" t="str">
        <f t="shared" si="1"/>
        <v>NO ES TITULAR</v>
      </c>
      <c r="T245" s="154" t="str">
        <f t="shared" si="2"/>
        <v>NO ES TITULAR</v>
      </c>
      <c r="U245" s="157"/>
      <c r="V245" s="155"/>
      <c r="W245" s="140"/>
    </row>
    <row r="246" spans="1:23" ht="15.75" customHeight="1">
      <c r="A246" s="148"/>
      <c r="B246" s="148"/>
      <c r="C246" s="158" t="e">
        <f>VLOOKUP(B246,MAESTRO!$D$4:$E$10,2,FALSE)</f>
        <v>#N/A</v>
      </c>
      <c r="D246" s="145" t="e">
        <f t="shared" si="13"/>
        <v>#N/A</v>
      </c>
      <c r="E246" s="160"/>
      <c r="F246" s="140"/>
      <c r="G246" s="141" t="e">
        <f>VLOOKUP(F246,MAESTRO!$G$4:$H$14,2,FALSE)</f>
        <v>#N/A</v>
      </c>
      <c r="H246" s="140"/>
      <c r="I246" s="140"/>
      <c r="J246" s="143"/>
      <c r="K246" s="163"/>
      <c r="L246" s="145">
        <f t="shared" ca="1" si="11"/>
        <v>126</v>
      </c>
      <c r="M246" s="166"/>
      <c r="N246" s="144"/>
      <c r="O246" s="145">
        <f t="shared" si="12"/>
        <v>0</v>
      </c>
      <c r="P246" s="168" t="e">
        <f>IF(N246="PRIMERA",
   VLOOKUP(O246,MAESTRO!M:O,2,FALSE),
   VLOOKUP(O246,MAESTRO!M:O,3,FALSE)
)</f>
        <v>#N/A</v>
      </c>
      <c r="Q246" s="148"/>
      <c r="R246" s="148" t="e">
        <f>VLOOKUP(Q246,MAESTRO!$P$5:$Q$8,2,FALSE)</f>
        <v>#N/A</v>
      </c>
      <c r="S246" s="149" t="str">
        <f t="shared" si="1"/>
        <v>NO ES TITULAR</v>
      </c>
      <c r="T246" s="154" t="str">
        <f t="shared" si="2"/>
        <v>NO ES TITULAR</v>
      </c>
      <c r="U246" s="157"/>
      <c r="V246" s="155"/>
      <c r="W246" s="140"/>
    </row>
    <row r="247" spans="1:23" ht="15.75" customHeight="1">
      <c r="A247" s="148"/>
      <c r="B247" s="148"/>
      <c r="C247" s="158" t="e">
        <f>VLOOKUP(B247,MAESTRO!$D$4:$E$10,2,FALSE)</f>
        <v>#N/A</v>
      </c>
      <c r="D247" s="145" t="e">
        <f t="shared" si="13"/>
        <v>#N/A</v>
      </c>
      <c r="E247" s="160"/>
      <c r="F247" s="140"/>
      <c r="G247" s="141" t="e">
        <f>VLOOKUP(F247,MAESTRO!$G$4:$H$14,2,FALSE)</f>
        <v>#N/A</v>
      </c>
      <c r="H247" s="140"/>
      <c r="I247" s="140"/>
      <c r="J247" s="143"/>
      <c r="K247" s="163"/>
      <c r="L247" s="145">
        <f t="shared" ca="1" si="11"/>
        <v>126</v>
      </c>
      <c r="M247" s="166"/>
      <c r="N247" s="144"/>
      <c r="O247" s="145">
        <f t="shared" si="12"/>
        <v>0</v>
      </c>
      <c r="P247" s="168" t="e">
        <f>IF(N247="PRIMERA",
   VLOOKUP(O247,MAESTRO!M:O,2,FALSE),
   VLOOKUP(O247,MAESTRO!M:O,3,FALSE)
)</f>
        <v>#N/A</v>
      </c>
      <c r="Q247" s="148"/>
      <c r="R247" s="148" t="e">
        <f>VLOOKUP(Q247,MAESTRO!$P$5:$Q$8,2,FALSE)</f>
        <v>#N/A</v>
      </c>
      <c r="S247" s="149" t="str">
        <f t="shared" si="1"/>
        <v>NO ES TITULAR</v>
      </c>
      <c r="T247" s="154" t="str">
        <f t="shared" si="2"/>
        <v>NO ES TITULAR</v>
      </c>
      <c r="U247" s="157"/>
      <c r="V247" s="155"/>
      <c r="W247" s="140"/>
    </row>
    <row r="248" spans="1:23" ht="15.75" customHeight="1">
      <c r="A248" s="148"/>
      <c r="B248" s="148"/>
      <c r="C248" s="158" t="e">
        <f>VLOOKUP(B248,MAESTRO!$D$4:$E$10,2,FALSE)</f>
        <v>#N/A</v>
      </c>
      <c r="D248" s="145" t="e">
        <f t="shared" si="13"/>
        <v>#N/A</v>
      </c>
      <c r="E248" s="160"/>
      <c r="F248" s="140"/>
      <c r="G248" s="141" t="e">
        <f>VLOOKUP(F248,MAESTRO!$G$4:$H$14,2,FALSE)</f>
        <v>#N/A</v>
      </c>
      <c r="H248" s="140"/>
      <c r="I248" s="140"/>
      <c r="J248" s="143"/>
      <c r="K248" s="163"/>
      <c r="L248" s="145">
        <f t="shared" ca="1" si="11"/>
        <v>126</v>
      </c>
      <c r="M248" s="166"/>
      <c r="N248" s="144"/>
      <c r="O248" s="145">
        <f t="shared" si="12"/>
        <v>0</v>
      </c>
      <c r="P248" s="168" t="e">
        <f>IF(N248="PRIMERA",
   VLOOKUP(O248,MAESTRO!M:O,2,FALSE),
   VLOOKUP(O248,MAESTRO!M:O,3,FALSE)
)</f>
        <v>#N/A</v>
      </c>
      <c r="Q248" s="148"/>
      <c r="R248" s="148" t="e">
        <f>VLOOKUP(Q248,MAESTRO!$P$5:$Q$8,2,FALSE)</f>
        <v>#N/A</v>
      </c>
      <c r="S248" s="149" t="str">
        <f t="shared" si="1"/>
        <v>NO ES TITULAR</v>
      </c>
      <c r="T248" s="154" t="str">
        <f t="shared" si="2"/>
        <v>NO ES TITULAR</v>
      </c>
      <c r="U248" s="157"/>
      <c r="V248" s="155"/>
      <c r="W248" s="140"/>
    </row>
    <row r="249" spans="1:23" ht="15.75" customHeight="1">
      <c r="A249" s="148"/>
      <c r="B249" s="148"/>
      <c r="C249" s="158" t="e">
        <f>VLOOKUP(B249,MAESTRO!$D$4:$E$10,2,FALSE)</f>
        <v>#N/A</v>
      </c>
      <c r="D249" s="145" t="e">
        <f t="shared" si="13"/>
        <v>#N/A</v>
      </c>
      <c r="E249" s="160"/>
      <c r="F249" s="140"/>
      <c r="G249" s="141" t="e">
        <f>VLOOKUP(F249,MAESTRO!$G$4:$H$14,2,FALSE)</f>
        <v>#N/A</v>
      </c>
      <c r="H249" s="140"/>
      <c r="I249" s="140"/>
      <c r="J249" s="143"/>
      <c r="K249" s="163"/>
      <c r="L249" s="145">
        <f t="shared" ca="1" si="11"/>
        <v>126</v>
      </c>
      <c r="M249" s="166"/>
      <c r="N249" s="144"/>
      <c r="O249" s="145">
        <f t="shared" si="12"/>
        <v>0</v>
      </c>
      <c r="P249" s="168" t="e">
        <f>IF(N249="PRIMERA",
   VLOOKUP(O249,MAESTRO!M:O,2,FALSE),
   VLOOKUP(O249,MAESTRO!M:O,3,FALSE)
)</f>
        <v>#N/A</v>
      </c>
      <c r="Q249" s="148"/>
      <c r="R249" s="148" t="e">
        <f>VLOOKUP(Q249,MAESTRO!$P$5:$Q$8,2,FALSE)</f>
        <v>#N/A</v>
      </c>
      <c r="S249" s="149" t="str">
        <f t="shared" si="1"/>
        <v>NO ES TITULAR</v>
      </c>
      <c r="T249" s="154" t="str">
        <f t="shared" si="2"/>
        <v>NO ES TITULAR</v>
      </c>
      <c r="U249" s="157"/>
      <c r="V249" s="155"/>
      <c r="W249" s="140"/>
    </row>
    <row r="250" spans="1:23" ht="15.75" customHeight="1">
      <c r="A250" s="148"/>
      <c r="B250" s="148"/>
      <c r="C250" s="158" t="e">
        <f>VLOOKUP(B250,MAESTRO!$D$4:$E$10,2,FALSE)</f>
        <v>#N/A</v>
      </c>
      <c r="D250" s="145" t="e">
        <f t="shared" si="13"/>
        <v>#N/A</v>
      </c>
      <c r="E250" s="160"/>
      <c r="F250" s="140"/>
      <c r="G250" s="141" t="e">
        <f>VLOOKUP(F250,MAESTRO!$G$4:$H$14,2,FALSE)</f>
        <v>#N/A</v>
      </c>
      <c r="H250" s="140"/>
      <c r="I250" s="140"/>
      <c r="J250" s="143"/>
      <c r="K250" s="163"/>
      <c r="L250" s="145">
        <f t="shared" ca="1" si="11"/>
        <v>126</v>
      </c>
      <c r="M250" s="166"/>
      <c r="N250" s="144"/>
      <c r="O250" s="145">
        <f t="shared" si="12"/>
        <v>0</v>
      </c>
      <c r="P250" s="168" t="e">
        <f>IF(N250="PRIMERA",
   VLOOKUP(O250,MAESTRO!M:O,2,FALSE),
   VLOOKUP(O250,MAESTRO!M:O,3,FALSE)
)</f>
        <v>#N/A</v>
      </c>
      <c r="Q250" s="148"/>
      <c r="R250" s="148" t="e">
        <f>VLOOKUP(Q250,MAESTRO!$P$5:$Q$8,2,FALSE)</f>
        <v>#N/A</v>
      </c>
      <c r="S250" s="149" t="str">
        <f t="shared" si="1"/>
        <v>NO ES TITULAR</v>
      </c>
      <c r="T250" s="154" t="str">
        <f t="shared" si="2"/>
        <v>NO ES TITULAR</v>
      </c>
      <c r="U250" s="157"/>
      <c r="V250" s="155"/>
      <c r="W250" s="140"/>
    </row>
    <row r="251" spans="1:23" ht="15.75" customHeight="1">
      <c r="A251" s="148"/>
      <c r="B251" s="148"/>
      <c r="C251" s="158" t="e">
        <f>VLOOKUP(B251,MAESTRO!$D$4:$E$10,2,FALSE)</f>
        <v>#N/A</v>
      </c>
      <c r="D251" s="145" t="e">
        <f t="shared" si="13"/>
        <v>#N/A</v>
      </c>
      <c r="E251" s="160"/>
      <c r="F251" s="140"/>
      <c r="G251" s="141" t="e">
        <f>VLOOKUP(F251,MAESTRO!$G$4:$H$14,2,FALSE)</f>
        <v>#N/A</v>
      </c>
      <c r="H251" s="140"/>
      <c r="I251" s="140"/>
      <c r="J251" s="143"/>
      <c r="K251" s="163"/>
      <c r="L251" s="145">
        <f t="shared" ca="1" si="11"/>
        <v>126</v>
      </c>
      <c r="M251" s="166"/>
      <c r="N251" s="144"/>
      <c r="O251" s="145">
        <f t="shared" si="12"/>
        <v>0</v>
      </c>
      <c r="P251" s="168" t="e">
        <f>IF(N251="PRIMERA",
   VLOOKUP(O251,MAESTRO!M:O,2,FALSE),
   VLOOKUP(O251,MAESTRO!M:O,3,FALSE)
)</f>
        <v>#N/A</v>
      </c>
      <c r="Q251" s="148"/>
      <c r="R251" s="148" t="e">
        <f>VLOOKUP(Q251,MAESTRO!$P$5:$Q$8,2,FALSE)</f>
        <v>#N/A</v>
      </c>
      <c r="S251" s="149" t="str">
        <f t="shared" si="1"/>
        <v>NO ES TITULAR</v>
      </c>
      <c r="T251" s="154" t="str">
        <f t="shared" si="2"/>
        <v>NO ES TITULAR</v>
      </c>
      <c r="U251" s="157"/>
      <c r="V251" s="155"/>
      <c r="W251" s="140"/>
    </row>
    <row r="252" spans="1:23" ht="15.75" customHeight="1">
      <c r="A252" s="148"/>
      <c r="B252" s="148"/>
      <c r="C252" s="158" t="e">
        <f>VLOOKUP(B252,MAESTRO!$D$4:$E$10,2,FALSE)</f>
        <v>#N/A</v>
      </c>
      <c r="D252" s="145" t="e">
        <f t="shared" si="13"/>
        <v>#N/A</v>
      </c>
      <c r="E252" s="160"/>
      <c r="F252" s="140"/>
      <c r="G252" s="141" t="e">
        <f>VLOOKUP(F252,MAESTRO!$G$4:$H$14,2,FALSE)</f>
        <v>#N/A</v>
      </c>
      <c r="H252" s="140"/>
      <c r="I252" s="140"/>
      <c r="J252" s="143"/>
      <c r="K252" s="163"/>
      <c r="L252" s="145">
        <f t="shared" ca="1" si="11"/>
        <v>126</v>
      </c>
      <c r="M252" s="166"/>
      <c r="N252" s="144"/>
      <c r="O252" s="145">
        <f t="shared" si="12"/>
        <v>0</v>
      </c>
      <c r="P252" s="168" t="e">
        <f>IF(N252="PRIMERA",
   VLOOKUP(O252,MAESTRO!M:O,2,FALSE),
   VLOOKUP(O252,MAESTRO!M:O,3,FALSE)
)</f>
        <v>#N/A</v>
      </c>
      <c r="Q252" s="148"/>
      <c r="R252" s="148" t="e">
        <f>VLOOKUP(Q252,MAESTRO!$P$5:$Q$8,2,FALSE)</f>
        <v>#N/A</v>
      </c>
      <c r="S252" s="149" t="str">
        <f t="shared" si="1"/>
        <v>NO ES TITULAR</v>
      </c>
      <c r="T252" s="154" t="str">
        <f t="shared" si="2"/>
        <v>NO ES TITULAR</v>
      </c>
      <c r="U252" s="157"/>
      <c r="V252" s="155"/>
      <c r="W252" s="140"/>
    </row>
    <row r="253" spans="1:23" ht="15.75" customHeight="1">
      <c r="A253" s="148"/>
      <c r="B253" s="148"/>
      <c r="C253" s="158" t="e">
        <f>VLOOKUP(B253,MAESTRO!$D$4:$E$10,2,FALSE)</f>
        <v>#N/A</v>
      </c>
      <c r="D253" s="145" t="e">
        <f t="shared" si="13"/>
        <v>#N/A</v>
      </c>
      <c r="E253" s="160"/>
      <c r="F253" s="140"/>
      <c r="G253" s="141" t="e">
        <f>VLOOKUP(F253,MAESTRO!$G$4:$H$14,2,FALSE)</f>
        <v>#N/A</v>
      </c>
      <c r="H253" s="140"/>
      <c r="I253" s="140"/>
      <c r="J253" s="143"/>
      <c r="K253" s="163"/>
      <c r="L253" s="145">
        <f t="shared" ca="1" si="11"/>
        <v>126</v>
      </c>
      <c r="M253" s="166"/>
      <c r="N253" s="144"/>
      <c r="O253" s="145">
        <f t="shared" si="12"/>
        <v>0</v>
      </c>
      <c r="P253" s="168" t="e">
        <f>IF(N253="PRIMERA",
   VLOOKUP(O253,MAESTRO!M:O,2,FALSE),
   VLOOKUP(O253,MAESTRO!M:O,3,FALSE)
)</f>
        <v>#N/A</v>
      </c>
      <c r="Q253" s="148"/>
      <c r="R253" s="148" t="e">
        <f>VLOOKUP(Q253,MAESTRO!$P$5:$Q$8,2,FALSE)</f>
        <v>#N/A</v>
      </c>
      <c r="S253" s="149" t="str">
        <f t="shared" si="1"/>
        <v>NO ES TITULAR</v>
      </c>
      <c r="T253" s="154" t="str">
        <f t="shared" si="2"/>
        <v>NO ES TITULAR</v>
      </c>
      <c r="U253" s="157"/>
      <c r="V253" s="155"/>
      <c r="W253" s="140"/>
    </row>
    <row r="254" spans="1:23" ht="15.75" customHeight="1">
      <c r="A254" s="148"/>
      <c r="B254" s="148"/>
      <c r="C254" s="158" t="e">
        <f>VLOOKUP(B254,MAESTRO!$D$4:$E$10,2,FALSE)</f>
        <v>#N/A</v>
      </c>
      <c r="D254" s="145" t="e">
        <f t="shared" si="13"/>
        <v>#N/A</v>
      </c>
      <c r="E254" s="160"/>
      <c r="F254" s="140"/>
      <c r="G254" s="141" t="e">
        <f>VLOOKUP(F254,MAESTRO!$G$4:$H$14,2,FALSE)</f>
        <v>#N/A</v>
      </c>
      <c r="H254" s="140"/>
      <c r="I254" s="140"/>
      <c r="J254" s="143"/>
      <c r="K254" s="163"/>
      <c r="L254" s="145">
        <f t="shared" ca="1" si="11"/>
        <v>126</v>
      </c>
      <c r="M254" s="166"/>
      <c r="N254" s="144"/>
      <c r="O254" s="145">
        <f t="shared" si="12"/>
        <v>0</v>
      </c>
      <c r="P254" s="168" t="e">
        <f>IF(N254="PRIMERA",
   VLOOKUP(O254,MAESTRO!M:O,2,FALSE),
   VLOOKUP(O254,MAESTRO!M:O,3,FALSE)
)</f>
        <v>#N/A</v>
      </c>
      <c r="Q254" s="148"/>
      <c r="R254" s="148" t="e">
        <f>VLOOKUP(Q254,MAESTRO!$P$5:$Q$8,2,FALSE)</f>
        <v>#N/A</v>
      </c>
      <c r="S254" s="149" t="str">
        <f t="shared" si="1"/>
        <v>NO ES TITULAR</v>
      </c>
      <c r="T254" s="154" t="str">
        <f t="shared" si="2"/>
        <v>NO ES TITULAR</v>
      </c>
      <c r="U254" s="157"/>
      <c r="V254" s="155"/>
      <c r="W254" s="140"/>
    </row>
    <row r="255" spans="1:23" ht="15.75" customHeight="1">
      <c r="A255" s="148"/>
      <c r="B255" s="148"/>
      <c r="C255" s="158" t="e">
        <f>VLOOKUP(B255,MAESTRO!$D$4:$E$10,2,FALSE)</f>
        <v>#N/A</v>
      </c>
      <c r="D255" s="145" t="e">
        <f t="shared" si="13"/>
        <v>#N/A</v>
      </c>
      <c r="E255" s="160"/>
      <c r="F255" s="140"/>
      <c r="G255" s="141" t="e">
        <f>VLOOKUP(F255,MAESTRO!$G$4:$H$14,2,FALSE)</f>
        <v>#N/A</v>
      </c>
      <c r="H255" s="140"/>
      <c r="I255" s="140"/>
      <c r="J255" s="143"/>
      <c r="K255" s="163"/>
      <c r="L255" s="145">
        <f t="shared" ca="1" si="11"/>
        <v>126</v>
      </c>
      <c r="M255" s="166"/>
      <c r="N255" s="144"/>
      <c r="O255" s="145">
        <f t="shared" si="12"/>
        <v>0</v>
      </c>
      <c r="P255" s="168" t="e">
        <f>IF(N255="PRIMERA",
   VLOOKUP(O255,MAESTRO!M:O,2,FALSE),
   VLOOKUP(O255,MAESTRO!M:O,3,FALSE)
)</f>
        <v>#N/A</v>
      </c>
      <c r="Q255" s="148"/>
      <c r="R255" s="148" t="e">
        <f>VLOOKUP(Q255,MAESTRO!$P$5:$Q$8,2,FALSE)</f>
        <v>#N/A</v>
      </c>
      <c r="S255" s="149" t="str">
        <f t="shared" si="1"/>
        <v>NO ES TITULAR</v>
      </c>
      <c r="T255" s="154" t="str">
        <f t="shared" si="2"/>
        <v>NO ES TITULAR</v>
      </c>
      <c r="U255" s="157"/>
      <c r="V255" s="155"/>
      <c r="W255" s="140"/>
    </row>
    <row r="256" spans="1:23" ht="15.75" customHeight="1">
      <c r="A256" s="148"/>
      <c r="B256" s="148"/>
      <c r="C256" s="158" t="e">
        <f>VLOOKUP(B256,MAESTRO!$D$4:$E$10,2,FALSE)</f>
        <v>#N/A</v>
      </c>
      <c r="D256" s="145" t="e">
        <f t="shared" si="13"/>
        <v>#N/A</v>
      </c>
      <c r="E256" s="160"/>
      <c r="F256" s="140"/>
      <c r="G256" s="141" t="e">
        <f>VLOOKUP(F256,MAESTRO!$G$4:$H$14,2,FALSE)</f>
        <v>#N/A</v>
      </c>
      <c r="H256" s="140"/>
      <c r="I256" s="140"/>
      <c r="J256" s="143"/>
      <c r="K256" s="163"/>
      <c r="L256" s="145">
        <f t="shared" ca="1" si="11"/>
        <v>126</v>
      </c>
      <c r="M256" s="166"/>
      <c r="N256" s="144"/>
      <c r="O256" s="145">
        <f t="shared" si="12"/>
        <v>0</v>
      </c>
      <c r="P256" s="168" t="e">
        <f>IF(N256="PRIMERA",
   VLOOKUP(O256,MAESTRO!M:O,2,FALSE),
   VLOOKUP(O256,MAESTRO!M:O,3,FALSE)
)</f>
        <v>#N/A</v>
      </c>
      <c r="Q256" s="148"/>
      <c r="R256" s="148" t="e">
        <f>VLOOKUP(Q256,MAESTRO!$P$5:$Q$8,2,FALSE)</f>
        <v>#N/A</v>
      </c>
      <c r="S256" s="149" t="str">
        <f t="shared" si="1"/>
        <v>NO ES TITULAR</v>
      </c>
      <c r="T256" s="154" t="str">
        <f t="shared" si="2"/>
        <v>NO ES TITULAR</v>
      </c>
      <c r="U256" s="157"/>
      <c r="V256" s="155"/>
      <c r="W256" s="140"/>
    </row>
    <row r="257" spans="1:23" ht="15.75" customHeight="1">
      <c r="A257" s="148"/>
      <c r="B257" s="148"/>
      <c r="C257" s="158" t="e">
        <f>VLOOKUP(B257,MAESTRO!$D$4:$E$10,2,FALSE)</f>
        <v>#N/A</v>
      </c>
      <c r="D257" s="145" t="e">
        <f t="shared" si="13"/>
        <v>#N/A</v>
      </c>
      <c r="E257" s="160"/>
      <c r="F257" s="140"/>
      <c r="G257" s="141" t="e">
        <f>VLOOKUP(F257,MAESTRO!$G$4:$H$14,2,FALSE)</f>
        <v>#N/A</v>
      </c>
      <c r="H257" s="140"/>
      <c r="I257" s="140"/>
      <c r="J257" s="143"/>
      <c r="K257" s="163"/>
      <c r="L257" s="145">
        <f t="shared" ca="1" si="11"/>
        <v>126</v>
      </c>
      <c r="M257" s="166"/>
      <c r="N257" s="144"/>
      <c r="O257" s="145">
        <f t="shared" si="12"/>
        <v>0</v>
      </c>
      <c r="P257" s="168" t="e">
        <f>IF(N257="PRIMERA",
   VLOOKUP(O257,MAESTRO!M:O,2,FALSE),
   VLOOKUP(O257,MAESTRO!M:O,3,FALSE)
)</f>
        <v>#N/A</v>
      </c>
      <c r="Q257" s="148"/>
      <c r="R257" s="148" t="e">
        <f>VLOOKUP(Q257,MAESTRO!$P$5:$Q$8,2,FALSE)</f>
        <v>#N/A</v>
      </c>
      <c r="S257" s="149" t="str">
        <f t="shared" ref="S257:S411" si="14">IF(Q257="TITULAR",H257,"NO ES TITULAR")</f>
        <v>NO ES TITULAR</v>
      </c>
      <c r="T257" s="154" t="str">
        <f t="shared" ref="T257:T411" si="15">IF(Q257="TITULAR",I257,"NO ES TITULAR")</f>
        <v>NO ES TITULAR</v>
      </c>
      <c r="U257" s="157"/>
      <c r="V257" s="155"/>
      <c r="W257" s="140"/>
    </row>
    <row r="258" spans="1:23" ht="15.75" customHeight="1">
      <c r="A258" s="148"/>
      <c r="B258" s="148"/>
      <c r="C258" s="158" t="e">
        <f>VLOOKUP(B258,MAESTRO!$D$4:$E$10,2,FALSE)</f>
        <v>#N/A</v>
      </c>
      <c r="D258" s="145" t="e">
        <f t="shared" si="13"/>
        <v>#N/A</v>
      </c>
      <c r="E258" s="160"/>
      <c r="F258" s="140"/>
      <c r="G258" s="141" t="e">
        <f>VLOOKUP(F258,MAESTRO!$G$4:$H$14,2,FALSE)</f>
        <v>#N/A</v>
      </c>
      <c r="H258" s="140"/>
      <c r="I258" s="140"/>
      <c r="J258" s="143"/>
      <c r="K258" s="163"/>
      <c r="L258" s="145">
        <f t="shared" ref="L258:L321" ca="1" si="16">DATEDIF(K258,TODAY(),"Y")</f>
        <v>126</v>
      </c>
      <c r="M258" s="166"/>
      <c r="N258" s="144"/>
      <c r="O258" s="145">
        <f t="shared" si="12"/>
        <v>0</v>
      </c>
      <c r="P258" s="168" t="e">
        <f>IF(N258="PRIMERA",
   VLOOKUP(O258,MAESTRO!M:O,2,FALSE),
   VLOOKUP(O258,MAESTRO!M:O,3,FALSE)
)</f>
        <v>#N/A</v>
      </c>
      <c r="Q258" s="148"/>
      <c r="R258" s="148" t="e">
        <f>VLOOKUP(Q258,MAESTRO!$P$5:$Q$8,2,FALSE)</f>
        <v>#N/A</v>
      </c>
      <c r="S258" s="149" t="str">
        <f t="shared" si="14"/>
        <v>NO ES TITULAR</v>
      </c>
      <c r="T258" s="154" t="str">
        <f t="shared" si="15"/>
        <v>NO ES TITULAR</v>
      </c>
      <c r="U258" s="157"/>
      <c r="V258" s="155"/>
      <c r="W258" s="140"/>
    </row>
    <row r="259" spans="1:23" ht="15.75" customHeight="1">
      <c r="A259" s="148"/>
      <c r="B259" s="148"/>
      <c r="C259" s="158" t="e">
        <f>VLOOKUP(B259,MAESTRO!$D$4:$E$10,2,FALSE)</f>
        <v>#N/A</v>
      </c>
      <c r="D259" s="145" t="e">
        <f t="shared" si="13"/>
        <v>#N/A</v>
      </c>
      <c r="E259" s="160"/>
      <c r="F259" s="140"/>
      <c r="G259" s="141" t="e">
        <f>VLOOKUP(F259,MAESTRO!$G$4:$H$14,2,FALSE)</f>
        <v>#N/A</v>
      </c>
      <c r="H259" s="140"/>
      <c r="I259" s="140"/>
      <c r="J259" s="143"/>
      <c r="K259" s="163"/>
      <c r="L259" s="145">
        <f t="shared" ca="1" si="16"/>
        <v>126</v>
      </c>
      <c r="M259" s="166"/>
      <c r="N259" s="144"/>
      <c r="O259" s="145">
        <f t="shared" ref="O259:O322" si="17">+B259</f>
        <v>0</v>
      </c>
      <c r="P259" s="168" t="e">
        <f>IF(N259="PRIMERA",
   VLOOKUP(O259,MAESTRO!M:O,2,FALSE),
   VLOOKUP(O259,MAESTRO!M:O,3,FALSE)
)</f>
        <v>#N/A</v>
      </c>
      <c r="Q259" s="148"/>
      <c r="R259" s="148" t="e">
        <f>VLOOKUP(Q259,MAESTRO!$P$5:$Q$8,2,FALSE)</f>
        <v>#N/A</v>
      </c>
      <c r="S259" s="149" t="str">
        <f t="shared" si="14"/>
        <v>NO ES TITULAR</v>
      </c>
      <c r="T259" s="154" t="str">
        <f t="shared" si="15"/>
        <v>NO ES TITULAR</v>
      </c>
      <c r="U259" s="157"/>
      <c r="V259" s="155"/>
      <c r="W259" s="140"/>
    </row>
    <row r="260" spans="1:23" ht="15.75" customHeight="1">
      <c r="A260" s="148"/>
      <c r="B260" s="148"/>
      <c r="C260" s="158" t="e">
        <f>VLOOKUP(B260,MAESTRO!$D$4:$E$10,2,FALSE)</f>
        <v>#N/A</v>
      </c>
      <c r="D260" s="145" t="e">
        <f t="shared" ref="D260:D323" si="18">IF(C260&gt;0,1+D259)</f>
        <v>#N/A</v>
      </c>
      <c r="E260" s="160"/>
      <c r="F260" s="140"/>
      <c r="G260" s="141" t="e">
        <f>VLOOKUP(F260,MAESTRO!$G$4:$H$14,2,FALSE)</f>
        <v>#N/A</v>
      </c>
      <c r="H260" s="140"/>
      <c r="I260" s="140"/>
      <c r="J260" s="143"/>
      <c r="K260" s="163"/>
      <c r="L260" s="145">
        <f t="shared" ca="1" si="16"/>
        <v>126</v>
      </c>
      <c r="M260" s="166"/>
      <c r="N260" s="144"/>
      <c r="O260" s="145">
        <f t="shared" si="17"/>
        <v>0</v>
      </c>
      <c r="P260" s="168" t="e">
        <f>IF(N260="PRIMERA",
   VLOOKUP(O260,MAESTRO!M:O,2,FALSE),
   VLOOKUP(O260,MAESTRO!M:O,3,FALSE)
)</f>
        <v>#N/A</v>
      </c>
      <c r="Q260" s="148"/>
      <c r="R260" s="148" t="e">
        <f>VLOOKUP(Q260,MAESTRO!$P$5:$Q$8,2,FALSE)</f>
        <v>#N/A</v>
      </c>
      <c r="S260" s="149" t="str">
        <f t="shared" si="14"/>
        <v>NO ES TITULAR</v>
      </c>
      <c r="T260" s="154" t="str">
        <f t="shared" si="15"/>
        <v>NO ES TITULAR</v>
      </c>
      <c r="U260" s="157"/>
      <c r="V260" s="155"/>
      <c r="W260" s="140"/>
    </row>
    <row r="261" spans="1:23" ht="15.75" customHeight="1">
      <c r="A261" s="148"/>
      <c r="B261" s="148"/>
      <c r="C261" s="158" t="e">
        <f>VLOOKUP(B261,MAESTRO!$D$4:$E$10,2,FALSE)</f>
        <v>#N/A</v>
      </c>
      <c r="D261" s="145" t="e">
        <f t="shared" si="18"/>
        <v>#N/A</v>
      </c>
      <c r="E261" s="160"/>
      <c r="F261" s="140"/>
      <c r="G261" s="141" t="e">
        <f>VLOOKUP(F261,MAESTRO!$G$4:$H$14,2,FALSE)</f>
        <v>#N/A</v>
      </c>
      <c r="H261" s="140"/>
      <c r="I261" s="140"/>
      <c r="J261" s="143"/>
      <c r="K261" s="163"/>
      <c r="L261" s="145">
        <f t="shared" ca="1" si="16"/>
        <v>126</v>
      </c>
      <c r="M261" s="166"/>
      <c r="N261" s="144"/>
      <c r="O261" s="145">
        <f t="shared" si="17"/>
        <v>0</v>
      </c>
      <c r="P261" s="168" t="e">
        <f>IF(N261="PRIMERA",
   VLOOKUP(O261,MAESTRO!M:O,2,FALSE),
   VLOOKUP(O261,MAESTRO!M:O,3,FALSE)
)</f>
        <v>#N/A</v>
      </c>
      <c r="Q261" s="148"/>
      <c r="R261" s="148" t="e">
        <f>VLOOKUP(Q261,MAESTRO!$P$5:$Q$8,2,FALSE)</f>
        <v>#N/A</v>
      </c>
      <c r="S261" s="149" t="str">
        <f t="shared" si="14"/>
        <v>NO ES TITULAR</v>
      </c>
      <c r="T261" s="154" t="str">
        <f t="shared" si="15"/>
        <v>NO ES TITULAR</v>
      </c>
      <c r="U261" s="157"/>
      <c r="V261" s="155"/>
      <c r="W261" s="140"/>
    </row>
    <row r="262" spans="1:23" ht="15.75" customHeight="1">
      <c r="A262" s="148"/>
      <c r="B262" s="148"/>
      <c r="C262" s="158" t="e">
        <f>VLOOKUP(B262,MAESTRO!$D$4:$E$10,2,FALSE)</f>
        <v>#N/A</v>
      </c>
      <c r="D262" s="145" t="e">
        <f t="shared" si="18"/>
        <v>#N/A</v>
      </c>
      <c r="E262" s="160"/>
      <c r="F262" s="140"/>
      <c r="G262" s="141" t="e">
        <f>VLOOKUP(F262,MAESTRO!$G$4:$H$14,2,FALSE)</f>
        <v>#N/A</v>
      </c>
      <c r="H262" s="140"/>
      <c r="I262" s="140"/>
      <c r="J262" s="143"/>
      <c r="K262" s="163"/>
      <c r="L262" s="145">
        <f t="shared" ca="1" si="16"/>
        <v>126</v>
      </c>
      <c r="M262" s="166"/>
      <c r="N262" s="144"/>
      <c r="O262" s="145">
        <f t="shared" si="17"/>
        <v>0</v>
      </c>
      <c r="P262" s="168" t="e">
        <f>IF(N262="PRIMERA",
   VLOOKUP(O262,MAESTRO!M:O,2,FALSE),
   VLOOKUP(O262,MAESTRO!M:O,3,FALSE)
)</f>
        <v>#N/A</v>
      </c>
      <c r="Q262" s="148"/>
      <c r="R262" s="148" t="e">
        <f>VLOOKUP(Q262,MAESTRO!$P$5:$Q$8,2,FALSE)</f>
        <v>#N/A</v>
      </c>
      <c r="S262" s="149" t="str">
        <f t="shared" si="14"/>
        <v>NO ES TITULAR</v>
      </c>
      <c r="T262" s="154" t="str">
        <f t="shared" si="15"/>
        <v>NO ES TITULAR</v>
      </c>
      <c r="U262" s="157"/>
      <c r="V262" s="155"/>
      <c r="W262" s="140"/>
    </row>
    <row r="263" spans="1:23" ht="15.75" customHeight="1">
      <c r="A263" s="148"/>
      <c r="B263" s="148"/>
      <c r="C263" s="158" t="e">
        <f>VLOOKUP(B263,MAESTRO!$D$4:$E$10,2,FALSE)</f>
        <v>#N/A</v>
      </c>
      <c r="D263" s="145" t="e">
        <f t="shared" si="18"/>
        <v>#N/A</v>
      </c>
      <c r="E263" s="160"/>
      <c r="F263" s="140"/>
      <c r="G263" s="141" t="e">
        <f>VLOOKUP(F263,MAESTRO!$G$4:$H$14,2,FALSE)</f>
        <v>#N/A</v>
      </c>
      <c r="H263" s="140"/>
      <c r="I263" s="140"/>
      <c r="J263" s="143"/>
      <c r="K263" s="163"/>
      <c r="L263" s="145">
        <f t="shared" ca="1" si="16"/>
        <v>126</v>
      </c>
      <c r="M263" s="166"/>
      <c r="N263" s="144"/>
      <c r="O263" s="145">
        <f t="shared" si="17"/>
        <v>0</v>
      </c>
      <c r="P263" s="168" t="e">
        <f>IF(N263="PRIMERA",
   VLOOKUP(O263,MAESTRO!M:O,2,FALSE),
   VLOOKUP(O263,MAESTRO!M:O,3,FALSE)
)</f>
        <v>#N/A</v>
      </c>
      <c r="Q263" s="148"/>
      <c r="R263" s="148" t="e">
        <f>VLOOKUP(Q263,MAESTRO!$P$5:$Q$8,2,FALSE)</f>
        <v>#N/A</v>
      </c>
      <c r="S263" s="149" t="str">
        <f t="shared" si="14"/>
        <v>NO ES TITULAR</v>
      </c>
      <c r="T263" s="154" t="str">
        <f t="shared" si="15"/>
        <v>NO ES TITULAR</v>
      </c>
      <c r="U263" s="157"/>
      <c r="V263" s="155"/>
      <c r="W263" s="140"/>
    </row>
    <row r="264" spans="1:23" ht="15.75" customHeight="1">
      <c r="A264" s="148"/>
      <c r="B264" s="148"/>
      <c r="C264" s="158" t="e">
        <f>VLOOKUP(B264,MAESTRO!$D$4:$E$10,2,FALSE)</f>
        <v>#N/A</v>
      </c>
      <c r="D264" s="145" t="e">
        <f t="shared" si="18"/>
        <v>#N/A</v>
      </c>
      <c r="E264" s="160"/>
      <c r="F264" s="140"/>
      <c r="G264" s="141" t="e">
        <f>VLOOKUP(F264,MAESTRO!$G$4:$H$14,2,FALSE)</f>
        <v>#N/A</v>
      </c>
      <c r="H264" s="140"/>
      <c r="I264" s="140"/>
      <c r="J264" s="143"/>
      <c r="K264" s="163"/>
      <c r="L264" s="145">
        <f t="shared" ca="1" si="16"/>
        <v>126</v>
      </c>
      <c r="M264" s="166"/>
      <c r="N264" s="144"/>
      <c r="O264" s="145">
        <f t="shared" si="17"/>
        <v>0</v>
      </c>
      <c r="P264" s="168" t="e">
        <f>IF(N264="PRIMERA",
   VLOOKUP(O264,MAESTRO!M:O,2,FALSE),
   VLOOKUP(O264,MAESTRO!M:O,3,FALSE)
)</f>
        <v>#N/A</v>
      </c>
      <c r="Q264" s="148"/>
      <c r="R264" s="148" t="e">
        <f>VLOOKUP(Q264,MAESTRO!$P$5:$Q$8,2,FALSE)</f>
        <v>#N/A</v>
      </c>
      <c r="S264" s="149" t="str">
        <f t="shared" si="14"/>
        <v>NO ES TITULAR</v>
      </c>
      <c r="T264" s="154" t="str">
        <f t="shared" si="15"/>
        <v>NO ES TITULAR</v>
      </c>
      <c r="U264" s="157"/>
      <c r="V264" s="155"/>
      <c r="W264" s="140"/>
    </row>
    <row r="265" spans="1:23" ht="15.75" customHeight="1">
      <c r="A265" s="148"/>
      <c r="B265" s="148"/>
      <c r="C265" s="158" t="e">
        <f>VLOOKUP(B265,MAESTRO!$D$4:$E$10,2,FALSE)</f>
        <v>#N/A</v>
      </c>
      <c r="D265" s="145" t="e">
        <f t="shared" si="18"/>
        <v>#N/A</v>
      </c>
      <c r="E265" s="160"/>
      <c r="F265" s="140"/>
      <c r="G265" s="141" t="e">
        <f>VLOOKUP(F265,MAESTRO!$G$4:$H$14,2,FALSE)</f>
        <v>#N/A</v>
      </c>
      <c r="H265" s="140"/>
      <c r="I265" s="140"/>
      <c r="J265" s="143"/>
      <c r="K265" s="163"/>
      <c r="L265" s="145">
        <f t="shared" ca="1" si="16"/>
        <v>126</v>
      </c>
      <c r="M265" s="166"/>
      <c r="N265" s="144"/>
      <c r="O265" s="145">
        <f t="shared" si="17"/>
        <v>0</v>
      </c>
      <c r="P265" s="168" t="e">
        <f>IF(N265="PRIMERA",
   VLOOKUP(O265,MAESTRO!M:O,2,FALSE),
   VLOOKUP(O265,MAESTRO!M:O,3,FALSE)
)</f>
        <v>#N/A</v>
      </c>
      <c r="Q265" s="148"/>
      <c r="R265" s="148" t="e">
        <f>VLOOKUP(Q265,MAESTRO!$P$5:$Q$8,2,FALSE)</f>
        <v>#N/A</v>
      </c>
      <c r="S265" s="149" t="str">
        <f t="shared" si="14"/>
        <v>NO ES TITULAR</v>
      </c>
      <c r="T265" s="154" t="str">
        <f t="shared" si="15"/>
        <v>NO ES TITULAR</v>
      </c>
      <c r="U265" s="157"/>
      <c r="V265" s="155"/>
      <c r="W265" s="140"/>
    </row>
    <row r="266" spans="1:23" ht="15.75" customHeight="1">
      <c r="A266" s="148"/>
      <c r="B266" s="148"/>
      <c r="C266" s="158" t="e">
        <f>VLOOKUP(B266,MAESTRO!$D$4:$E$10,2,FALSE)</f>
        <v>#N/A</v>
      </c>
      <c r="D266" s="145" t="e">
        <f t="shared" si="18"/>
        <v>#N/A</v>
      </c>
      <c r="E266" s="160"/>
      <c r="F266" s="140"/>
      <c r="G266" s="141" t="e">
        <f>VLOOKUP(F266,MAESTRO!$G$4:$H$14,2,FALSE)</f>
        <v>#N/A</v>
      </c>
      <c r="H266" s="140"/>
      <c r="I266" s="140"/>
      <c r="J266" s="143"/>
      <c r="K266" s="163"/>
      <c r="L266" s="145">
        <f t="shared" ca="1" si="16"/>
        <v>126</v>
      </c>
      <c r="M266" s="166"/>
      <c r="N266" s="144"/>
      <c r="O266" s="145">
        <f t="shared" si="17"/>
        <v>0</v>
      </c>
      <c r="P266" s="168" t="e">
        <f>IF(N266="PRIMERA",
   VLOOKUP(O266,MAESTRO!M:O,2,FALSE),
   VLOOKUP(O266,MAESTRO!M:O,3,FALSE)
)</f>
        <v>#N/A</v>
      </c>
      <c r="Q266" s="148"/>
      <c r="R266" s="148" t="e">
        <f>VLOOKUP(Q266,MAESTRO!$P$5:$Q$8,2,FALSE)</f>
        <v>#N/A</v>
      </c>
      <c r="S266" s="149" t="str">
        <f t="shared" si="14"/>
        <v>NO ES TITULAR</v>
      </c>
      <c r="T266" s="154" t="str">
        <f t="shared" si="15"/>
        <v>NO ES TITULAR</v>
      </c>
      <c r="U266" s="157"/>
      <c r="V266" s="155"/>
      <c r="W266" s="140"/>
    </row>
    <row r="267" spans="1:23" ht="15.75" customHeight="1">
      <c r="A267" s="148"/>
      <c r="B267" s="148"/>
      <c r="C267" s="158" t="e">
        <f>VLOOKUP(B267,MAESTRO!$D$4:$E$10,2,FALSE)</f>
        <v>#N/A</v>
      </c>
      <c r="D267" s="145" t="e">
        <f t="shared" si="18"/>
        <v>#N/A</v>
      </c>
      <c r="E267" s="160"/>
      <c r="F267" s="140"/>
      <c r="G267" s="141" t="e">
        <f>VLOOKUP(F267,MAESTRO!$G$4:$H$14,2,FALSE)</f>
        <v>#N/A</v>
      </c>
      <c r="H267" s="140"/>
      <c r="I267" s="140"/>
      <c r="J267" s="143"/>
      <c r="K267" s="163"/>
      <c r="L267" s="145">
        <f t="shared" ca="1" si="16"/>
        <v>126</v>
      </c>
      <c r="M267" s="166"/>
      <c r="N267" s="144"/>
      <c r="O267" s="145">
        <f t="shared" si="17"/>
        <v>0</v>
      </c>
      <c r="P267" s="168" t="e">
        <f>IF(N267="PRIMERA",
   VLOOKUP(O267,MAESTRO!M:O,2,FALSE),
   VLOOKUP(O267,MAESTRO!M:O,3,FALSE)
)</f>
        <v>#N/A</v>
      </c>
      <c r="Q267" s="148"/>
      <c r="R267" s="148" t="e">
        <f>VLOOKUP(Q267,MAESTRO!$P$5:$Q$8,2,FALSE)</f>
        <v>#N/A</v>
      </c>
      <c r="S267" s="149" t="str">
        <f t="shared" si="14"/>
        <v>NO ES TITULAR</v>
      </c>
      <c r="T267" s="154" t="str">
        <f t="shared" si="15"/>
        <v>NO ES TITULAR</v>
      </c>
      <c r="U267" s="157"/>
      <c r="V267" s="155"/>
      <c r="W267" s="140"/>
    </row>
    <row r="268" spans="1:23" ht="15.75" customHeight="1">
      <c r="A268" s="148"/>
      <c r="B268" s="148"/>
      <c r="C268" s="158" t="e">
        <f>VLOOKUP(B268,MAESTRO!$D$4:$E$10,2,FALSE)</f>
        <v>#N/A</v>
      </c>
      <c r="D268" s="145" t="e">
        <f t="shared" si="18"/>
        <v>#N/A</v>
      </c>
      <c r="E268" s="160"/>
      <c r="F268" s="140"/>
      <c r="G268" s="141" t="e">
        <f>VLOOKUP(F268,MAESTRO!$G$4:$H$14,2,FALSE)</f>
        <v>#N/A</v>
      </c>
      <c r="H268" s="140"/>
      <c r="I268" s="140"/>
      <c r="J268" s="143"/>
      <c r="K268" s="163"/>
      <c r="L268" s="145">
        <f t="shared" ca="1" si="16"/>
        <v>126</v>
      </c>
      <c r="M268" s="166"/>
      <c r="N268" s="144"/>
      <c r="O268" s="145">
        <f t="shared" si="17"/>
        <v>0</v>
      </c>
      <c r="P268" s="168" t="e">
        <f>IF(N268="PRIMERA",
   VLOOKUP(O268,MAESTRO!M:O,2,FALSE),
   VLOOKUP(O268,MAESTRO!M:O,3,FALSE)
)</f>
        <v>#N/A</v>
      </c>
      <c r="Q268" s="148"/>
      <c r="R268" s="148" t="e">
        <f>VLOOKUP(Q268,MAESTRO!$P$5:$Q$8,2,FALSE)</f>
        <v>#N/A</v>
      </c>
      <c r="S268" s="149" t="str">
        <f t="shared" si="14"/>
        <v>NO ES TITULAR</v>
      </c>
      <c r="T268" s="154" t="str">
        <f t="shared" si="15"/>
        <v>NO ES TITULAR</v>
      </c>
      <c r="U268" s="157"/>
      <c r="V268" s="155"/>
      <c r="W268" s="140"/>
    </row>
    <row r="269" spans="1:23" ht="15.75" customHeight="1">
      <c r="A269" s="148"/>
      <c r="B269" s="148"/>
      <c r="C269" s="158" t="e">
        <f>VLOOKUP(B269,MAESTRO!$D$4:$E$10,2,FALSE)</f>
        <v>#N/A</v>
      </c>
      <c r="D269" s="145" t="e">
        <f t="shared" si="18"/>
        <v>#N/A</v>
      </c>
      <c r="E269" s="160"/>
      <c r="F269" s="140"/>
      <c r="G269" s="141" t="e">
        <f>VLOOKUP(F269,MAESTRO!$G$4:$H$14,2,FALSE)</f>
        <v>#N/A</v>
      </c>
      <c r="H269" s="140"/>
      <c r="I269" s="140"/>
      <c r="J269" s="143"/>
      <c r="K269" s="163"/>
      <c r="L269" s="145">
        <f t="shared" ca="1" si="16"/>
        <v>126</v>
      </c>
      <c r="M269" s="166"/>
      <c r="N269" s="144"/>
      <c r="O269" s="145">
        <f t="shared" si="17"/>
        <v>0</v>
      </c>
      <c r="P269" s="168" t="e">
        <f>IF(N269="PRIMERA",
   VLOOKUP(O269,MAESTRO!M:O,2,FALSE),
   VLOOKUP(O269,MAESTRO!M:O,3,FALSE)
)</f>
        <v>#N/A</v>
      </c>
      <c r="Q269" s="148"/>
      <c r="R269" s="148" t="e">
        <f>VLOOKUP(Q269,MAESTRO!$P$5:$Q$8,2,FALSE)</f>
        <v>#N/A</v>
      </c>
      <c r="S269" s="149" t="str">
        <f t="shared" si="14"/>
        <v>NO ES TITULAR</v>
      </c>
      <c r="T269" s="154" t="str">
        <f t="shared" si="15"/>
        <v>NO ES TITULAR</v>
      </c>
      <c r="U269" s="157"/>
      <c r="V269" s="155"/>
      <c r="W269" s="140"/>
    </row>
    <row r="270" spans="1:23" ht="15.75" customHeight="1">
      <c r="A270" s="148"/>
      <c r="B270" s="148"/>
      <c r="C270" s="158" t="e">
        <f>VLOOKUP(B270,MAESTRO!$D$4:$E$10,2,FALSE)</f>
        <v>#N/A</v>
      </c>
      <c r="D270" s="145" t="e">
        <f t="shared" si="18"/>
        <v>#N/A</v>
      </c>
      <c r="E270" s="160"/>
      <c r="F270" s="140"/>
      <c r="G270" s="141" t="e">
        <f>VLOOKUP(F270,MAESTRO!$G$4:$H$14,2,FALSE)</f>
        <v>#N/A</v>
      </c>
      <c r="H270" s="140"/>
      <c r="I270" s="140"/>
      <c r="J270" s="143"/>
      <c r="K270" s="163"/>
      <c r="L270" s="145">
        <f t="shared" ca="1" si="16"/>
        <v>126</v>
      </c>
      <c r="M270" s="166"/>
      <c r="N270" s="144"/>
      <c r="O270" s="145">
        <f t="shared" si="17"/>
        <v>0</v>
      </c>
      <c r="P270" s="168" t="e">
        <f>IF(N270="PRIMERA",
   VLOOKUP(O270,MAESTRO!M:O,2,FALSE),
   VLOOKUP(O270,MAESTRO!M:O,3,FALSE)
)</f>
        <v>#N/A</v>
      </c>
      <c r="Q270" s="148"/>
      <c r="R270" s="148" t="e">
        <f>VLOOKUP(Q270,MAESTRO!$P$5:$Q$8,2,FALSE)</f>
        <v>#N/A</v>
      </c>
      <c r="S270" s="149" t="str">
        <f t="shared" si="14"/>
        <v>NO ES TITULAR</v>
      </c>
      <c r="T270" s="154" t="str">
        <f t="shared" si="15"/>
        <v>NO ES TITULAR</v>
      </c>
      <c r="U270" s="157"/>
      <c r="V270" s="155"/>
      <c r="W270" s="140"/>
    </row>
    <row r="271" spans="1:23" ht="15.75" customHeight="1">
      <c r="A271" s="148"/>
      <c r="B271" s="148"/>
      <c r="C271" s="158" t="e">
        <f>VLOOKUP(B271,MAESTRO!$D$4:$E$10,2,FALSE)</f>
        <v>#N/A</v>
      </c>
      <c r="D271" s="145" t="e">
        <f t="shared" si="18"/>
        <v>#N/A</v>
      </c>
      <c r="E271" s="160"/>
      <c r="F271" s="140"/>
      <c r="G271" s="141" t="e">
        <f>VLOOKUP(F271,MAESTRO!$G$4:$H$14,2,FALSE)</f>
        <v>#N/A</v>
      </c>
      <c r="H271" s="140"/>
      <c r="I271" s="140"/>
      <c r="J271" s="143"/>
      <c r="K271" s="163"/>
      <c r="L271" s="145">
        <f t="shared" ca="1" si="16"/>
        <v>126</v>
      </c>
      <c r="M271" s="166"/>
      <c r="N271" s="144"/>
      <c r="O271" s="145">
        <f t="shared" si="17"/>
        <v>0</v>
      </c>
      <c r="P271" s="168" t="e">
        <f>IF(N271="PRIMERA",
   VLOOKUP(O271,MAESTRO!M:O,2,FALSE),
   VLOOKUP(O271,MAESTRO!M:O,3,FALSE)
)</f>
        <v>#N/A</v>
      </c>
      <c r="Q271" s="148"/>
      <c r="R271" s="148" t="e">
        <f>VLOOKUP(Q271,MAESTRO!$P$5:$Q$8,2,FALSE)</f>
        <v>#N/A</v>
      </c>
      <c r="S271" s="149" t="str">
        <f t="shared" si="14"/>
        <v>NO ES TITULAR</v>
      </c>
      <c r="T271" s="154" t="str">
        <f t="shared" si="15"/>
        <v>NO ES TITULAR</v>
      </c>
      <c r="U271" s="157"/>
      <c r="V271" s="155"/>
      <c r="W271" s="140"/>
    </row>
    <row r="272" spans="1:23" ht="15.75" customHeight="1">
      <c r="A272" s="148"/>
      <c r="B272" s="148"/>
      <c r="C272" s="158" t="e">
        <f>VLOOKUP(B272,MAESTRO!$D$4:$E$10,2,FALSE)</f>
        <v>#N/A</v>
      </c>
      <c r="D272" s="145" t="e">
        <f t="shared" si="18"/>
        <v>#N/A</v>
      </c>
      <c r="E272" s="160"/>
      <c r="F272" s="140"/>
      <c r="G272" s="141" t="e">
        <f>VLOOKUP(F272,MAESTRO!$G$4:$H$14,2,FALSE)</f>
        <v>#N/A</v>
      </c>
      <c r="H272" s="140"/>
      <c r="I272" s="140"/>
      <c r="J272" s="143"/>
      <c r="K272" s="163"/>
      <c r="L272" s="145">
        <f t="shared" ca="1" si="16"/>
        <v>126</v>
      </c>
      <c r="M272" s="166"/>
      <c r="N272" s="144"/>
      <c r="O272" s="145">
        <f t="shared" si="17"/>
        <v>0</v>
      </c>
      <c r="P272" s="168" t="e">
        <f>IF(N272="PRIMERA",
   VLOOKUP(O272,MAESTRO!M:O,2,FALSE),
   VLOOKUP(O272,MAESTRO!M:O,3,FALSE)
)</f>
        <v>#N/A</v>
      </c>
      <c r="Q272" s="148"/>
      <c r="R272" s="148" t="e">
        <f>VLOOKUP(Q272,MAESTRO!$P$5:$Q$8,2,FALSE)</f>
        <v>#N/A</v>
      </c>
      <c r="S272" s="149" t="str">
        <f t="shared" si="14"/>
        <v>NO ES TITULAR</v>
      </c>
      <c r="T272" s="154" t="str">
        <f t="shared" si="15"/>
        <v>NO ES TITULAR</v>
      </c>
      <c r="U272" s="157"/>
      <c r="V272" s="155"/>
      <c r="W272" s="140"/>
    </row>
    <row r="273" spans="1:23" ht="15.75" customHeight="1">
      <c r="A273" s="148"/>
      <c r="B273" s="148"/>
      <c r="C273" s="158" t="e">
        <f>VLOOKUP(B273,MAESTRO!$D$4:$E$10,2,FALSE)</f>
        <v>#N/A</v>
      </c>
      <c r="D273" s="145" t="e">
        <f t="shared" si="18"/>
        <v>#N/A</v>
      </c>
      <c r="E273" s="160"/>
      <c r="F273" s="140"/>
      <c r="G273" s="141" t="e">
        <f>VLOOKUP(F273,MAESTRO!$G$4:$H$14,2,FALSE)</f>
        <v>#N/A</v>
      </c>
      <c r="H273" s="140"/>
      <c r="I273" s="140"/>
      <c r="J273" s="143"/>
      <c r="K273" s="163"/>
      <c r="L273" s="145">
        <f t="shared" ca="1" si="16"/>
        <v>126</v>
      </c>
      <c r="M273" s="166"/>
      <c r="N273" s="144"/>
      <c r="O273" s="145">
        <f t="shared" si="17"/>
        <v>0</v>
      </c>
      <c r="P273" s="168" t="e">
        <f>IF(N273="PRIMERA",
   VLOOKUP(O273,MAESTRO!M:O,2,FALSE),
   VLOOKUP(O273,MAESTRO!M:O,3,FALSE)
)</f>
        <v>#N/A</v>
      </c>
      <c r="Q273" s="148"/>
      <c r="R273" s="148" t="e">
        <f>VLOOKUP(Q273,MAESTRO!$P$5:$Q$8,2,FALSE)</f>
        <v>#N/A</v>
      </c>
      <c r="S273" s="149" t="str">
        <f t="shared" si="14"/>
        <v>NO ES TITULAR</v>
      </c>
      <c r="T273" s="154" t="str">
        <f t="shared" si="15"/>
        <v>NO ES TITULAR</v>
      </c>
      <c r="U273" s="157"/>
      <c r="V273" s="155"/>
      <c r="W273" s="140"/>
    </row>
    <row r="274" spans="1:23" ht="15.75" customHeight="1">
      <c r="A274" s="148"/>
      <c r="B274" s="148"/>
      <c r="C274" s="158" t="e">
        <f>VLOOKUP(B274,MAESTRO!$D$4:$E$10,2,FALSE)</f>
        <v>#N/A</v>
      </c>
      <c r="D274" s="145" t="e">
        <f t="shared" si="18"/>
        <v>#N/A</v>
      </c>
      <c r="E274" s="160"/>
      <c r="F274" s="140"/>
      <c r="G274" s="141" t="e">
        <f>VLOOKUP(F274,MAESTRO!$G$4:$H$14,2,FALSE)</f>
        <v>#N/A</v>
      </c>
      <c r="H274" s="140"/>
      <c r="I274" s="140"/>
      <c r="J274" s="143"/>
      <c r="K274" s="163"/>
      <c r="L274" s="145">
        <f t="shared" ca="1" si="16"/>
        <v>126</v>
      </c>
      <c r="M274" s="166"/>
      <c r="N274" s="144"/>
      <c r="O274" s="145">
        <f t="shared" si="17"/>
        <v>0</v>
      </c>
      <c r="P274" s="168" t="e">
        <f>IF(N274="PRIMERA",
   VLOOKUP(O274,MAESTRO!M:O,2,FALSE),
   VLOOKUP(O274,MAESTRO!M:O,3,FALSE)
)</f>
        <v>#N/A</v>
      </c>
      <c r="Q274" s="148"/>
      <c r="R274" s="148" t="e">
        <f>VLOOKUP(Q274,MAESTRO!$P$5:$Q$8,2,FALSE)</f>
        <v>#N/A</v>
      </c>
      <c r="S274" s="149" t="str">
        <f t="shared" si="14"/>
        <v>NO ES TITULAR</v>
      </c>
      <c r="T274" s="154" t="str">
        <f t="shared" si="15"/>
        <v>NO ES TITULAR</v>
      </c>
      <c r="U274" s="157"/>
      <c r="V274" s="155"/>
      <c r="W274" s="140"/>
    </row>
    <row r="275" spans="1:23" ht="15.75" customHeight="1">
      <c r="A275" s="148"/>
      <c r="B275" s="148"/>
      <c r="C275" s="158" t="e">
        <f>VLOOKUP(B275,MAESTRO!$D$4:$E$10,2,FALSE)</f>
        <v>#N/A</v>
      </c>
      <c r="D275" s="145" t="e">
        <f t="shared" si="18"/>
        <v>#N/A</v>
      </c>
      <c r="E275" s="160"/>
      <c r="F275" s="140"/>
      <c r="G275" s="141" t="e">
        <f>VLOOKUP(F275,MAESTRO!$G$4:$H$14,2,FALSE)</f>
        <v>#N/A</v>
      </c>
      <c r="H275" s="140"/>
      <c r="I275" s="140"/>
      <c r="J275" s="143"/>
      <c r="K275" s="163"/>
      <c r="L275" s="145">
        <f t="shared" ca="1" si="16"/>
        <v>126</v>
      </c>
      <c r="M275" s="166"/>
      <c r="N275" s="144"/>
      <c r="O275" s="145">
        <f t="shared" si="17"/>
        <v>0</v>
      </c>
      <c r="P275" s="168" t="e">
        <f>IF(N275="PRIMERA",
   VLOOKUP(O275,MAESTRO!M:O,2,FALSE),
   VLOOKUP(O275,MAESTRO!M:O,3,FALSE)
)</f>
        <v>#N/A</v>
      </c>
      <c r="Q275" s="148"/>
      <c r="R275" s="148" t="e">
        <f>VLOOKUP(Q275,MAESTRO!$P$5:$Q$8,2,FALSE)</f>
        <v>#N/A</v>
      </c>
      <c r="S275" s="149" t="str">
        <f t="shared" si="14"/>
        <v>NO ES TITULAR</v>
      </c>
      <c r="T275" s="154" t="str">
        <f t="shared" si="15"/>
        <v>NO ES TITULAR</v>
      </c>
      <c r="U275" s="157"/>
      <c r="V275" s="155"/>
      <c r="W275" s="140"/>
    </row>
    <row r="276" spans="1:23" ht="15.75" customHeight="1">
      <c r="A276" s="148"/>
      <c r="B276" s="148"/>
      <c r="C276" s="158" t="e">
        <f>VLOOKUP(B276,MAESTRO!$D$4:$E$10,2,FALSE)</f>
        <v>#N/A</v>
      </c>
      <c r="D276" s="145" t="e">
        <f t="shared" si="18"/>
        <v>#N/A</v>
      </c>
      <c r="E276" s="160"/>
      <c r="F276" s="140"/>
      <c r="G276" s="141" t="e">
        <f>VLOOKUP(F276,MAESTRO!$G$4:$H$14,2,FALSE)</f>
        <v>#N/A</v>
      </c>
      <c r="H276" s="140"/>
      <c r="I276" s="140"/>
      <c r="J276" s="143"/>
      <c r="K276" s="163"/>
      <c r="L276" s="145">
        <f t="shared" ca="1" si="16"/>
        <v>126</v>
      </c>
      <c r="M276" s="166"/>
      <c r="N276" s="144"/>
      <c r="O276" s="145">
        <f t="shared" si="17"/>
        <v>0</v>
      </c>
      <c r="P276" s="168" t="e">
        <f>IF(N276="PRIMERA",
   VLOOKUP(O276,MAESTRO!M:O,2,FALSE),
   VLOOKUP(O276,MAESTRO!M:O,3,FALSE)
)</f>
        <v>#N/A</v>
      </c>
      <c r="Q276" s="148"/>
      <c r="R276" s="148" t="e">
        <f>VLOOKUP(Q276,MAESTRO!$P$5:$Q$8,2,FALSE)</f>
        <v>#N/A</v>
      </c>
      <c r="S276" s="149" t="str">
        <f t="shared" si="14"/>
        <v>NO ES TITULAR</v>
      </c>
      <c r="T276" s="154" t="str">
        <f t="shared" si="15"/>
        <v>NO ES TITULAR</v>
      </c>
      <c r="U276" s="157"/>
      <c r="V276" s="155"/>
      <c r="W276" s="140"/>
    </row>
    <row r="277" spans="1:23" ht="15.75" customHeight="1">
      <c r="A277" s="148"/>
      <c r="B277" s="148"/>
      <c r="C277" s="158" t="e">
        <f>VLOOKUP(B277,MAESTRO!$D$4:$E$10,2,FALSE)</f>
        <v>#N/A</v>
      </c>
      <c r="D277" s="145" t="e">
        <f t="shared" si="18"/>
        <v>#N/A</v>
      </c>
      <c r="E277" s="160"/>
      <c r="F277" s="140"/>
      <c r="G277" s="141" t="e">
        <f>VLOOKUP(F277,MAESTRO!$G$4:$H$14,2,FALSE)</f>
        <v>#N/A</v>
      </c>
      <c r="H277" s="140"/>
      <c r="I277" s="140"/>
      <c r="J277" s="143"/>
      <c r="K277" s="163"/>
      <c r="L277" s="145">
        <f t="shared" ca="1" si="16"/>
        <v>126</v>
      </c>
      <c r="M277" s="166"/>
      <c r="N277" s="144"/>
      <c r="O277" s="145">
        <f t="shared" si="17"/>
        <v>0</v>
      </c>
      <c r="P277" s="168" t="e">
        <f>IF(N277="PRIMERA",
   VLOOKUP(O277,MAESTRO!M:O,2,FALSE),
   VLOOKUP(O277,MAESTRO!M:O,3,FALSE)
)</f>
        <v>#N/A</v>
      </c>
      <c r="Q277" s="148"/>
      <c r="R277" s="148" t="e">
        <f>VLOOKUP(Q277,MAESTRO!$P$5:$Q$8,2,FALSE)</f>
        <v>#N/A</v>
      </c>
      <c r="S277" s="149" t="str">
        <f t="shared" si="14"/>
        <v>NO ES TITULAR</v>
      </c>
      <c r="T277" s="154" t="str">
        <f t="shared" si="15"/>
        <v>NO ES TITULAR</v>
      </c>
      <c r="U277" s="157"/>
      <c r="V277" s="155"/>
      <c r="W277" s="140"/>
    </row>
    <row r="278" spans="1:23" ht="15.75" customHeight="1">
      <c r="A278" s="148"/>
      <c r="B278" s="148"/>
      <c r="C278" s="158" t="e">
        <f>VLOOKUP(B278,MAESTRO!$D$4:$E$10,2,FALSE)</f>
        <v>#N/A</v>
      </c>
      <c r="D278" s="145" t="e">
        <f t="shared" si="18"/>
        <v>#N/A</v>
      </c>
      <c r="E278" s="160"/>
      <c r="F278" s="140"/>
      <c r="G278" s="141" t="e">
        <f>VLOOKUP(F278,MAESTRO!$G$4:$H$14,2,FALSE)</f>
        <v>#N/A</v>
      </c>
      <c r="H278" s="140"/>
      <c r="I278" s="140"/>
      <c r="J278" s="143"/>
      <c r="K278" s="163"/>
      <c r="L278" s="145">
        <f t="shared" ca="1" si="16"/>
        <v>126</v>
      </c>
      <c r="M278" s="166"/>
      <c r="N278" s="144"/>
      <c r="O278" s="145">
        <f t="shared" si="17"/>
        <v>0</v>
      </c>
      <c r="P278" s="168" t="e">
        <f>IF(N278="PRIMERA",
   VLOOKUP(O278,MAESTRO!M:O,2,FALSE),
   VLOOKUP(O278,MAESTRO!M:O,3,FALSE)
)</f>
        <v>#N/A</v>
      </c>
      <c r="Q278" s="148"/>
      <c r="R278" s="148" t="e">
        <f>VLOOKUP(Q278,MAESTRO!$P$5:$Q$8,2,FALSE)</f>
        <v>#N/A</v>
      </c>
      <c r="S278" s="149" t="str">
        <f t="shared" si="14"/>
        <v>NO ES TITULAR</v>
      </c>
      <c r="T278" s="154" t="str">
        <f t="shared" si="15"/>
        <v>NO ES TITULAR</v>
      </c>
      <c r="U278" s="157"/>
      <c r="V278" s="155"/>
      <c r="W278" s="140"/>
    </row>
    <row r="279" spans="1:23" ht="15.75" customHeight="1">
      <c r="A279" s="148"/>
      <c r="B279" s="148"/>
      <c r="C279" s="158" t="e">
        <f>VLOOKUP(B279,MAESTRO!$D$4:$E$10,2,FALSE)</f>
        <v>#N/A</v>
      </c>
      <c r="D279" s="145" t="e">
        <f t="shared" si="18"/>
        <v>#N/A</v>
      </c>
      <c r="E279" s="160"/>
      <c r="F279" s="140"/>
      <c r="G279" s="141" t="e">
        <f>VLOOKUP(F279,MAESTRO!$G$4:$H$14,2,FALSE)</f>
        <v>#N/A</v>
      </c>
      <c r="H279" s="140"/>
      <c r="I279" s="140"/>
      <c r="J279" s="143"/>
      <c r="K279" s="163"/>
      <c r="L279" s="145">
        <f t="shared" ca="1" si="16"/>
        <v>126</v>
      </c>
      <c r="M279" s="166"/>
      <c r="N279" s="144"/>
      <c r="O279" s="145">
        <f t="shared" si="17"/>
        <v>0</v>
      </c>
      <c r="P279" s="168" t="e">
        <f>IF(N279="PRIMERA",
   VLOOKUP(O279,MAESTRO!M:O,2,FALSE),
   VLOOKUP(O279,MAESTRO!M:O,3,FALSE)
)</f>
        <v>#N/A</v>
      </c>
      <c r="Q279" s="148"/>
      <c r="R279" s="148" t="e">
        <f>VLOOKUP(Q279,MAESTRO!$P$5:$Q$8,2,FALSE)</f>
        <v>#N/A</v>
      </c>
      <c r="S279" s="149" t="str">
        <f t="shared" si="14"/>
        <v>NO ES TITULAR</v>
      </c>
      <c r="T279" s="154" t="str">
        <f t="shared" si="15"/>
        <v>NO ES TITULAR</v>
      </c>
      <c r="U279" s="157"/>
      <c r="V279" s="155"/>
      <c r="W279" s="140"/>
    </row>
    <row r="280" spans="1:23" ht="15.75" customHeight="1">
      <c r="A280" s="148"/>
      <c r="B280" s="148"/>
      <c r="C280" s="158" t="e">
        <f>VLOOKUP(B280,MAESTRO!$D$4:$E$10,2,FALSE)</f>
        <v>#N/A</v>
      </c>
      <c r="D280" s="145" t="e">
        <f t="shared" si="18"/>
        <v>#N/A</v>
      </c>
      <c r="E280" s="160"/>
      <c r="F280" s="140"/>
      <c r="G280" s="141" t="e">
        <f>VLOOKUP(F280,MAESTRO!$G$4:$H$14,2,FALSE)</f>
        <v>#N/A</v>
      </c>
      <c r="H280" s="140"/>
      <c r="I280" s="140"/>
      <c r="J280" s="143"/>
      <c r="K280" s="163"/>
      <c r="L280" s="145">
        <f t="shared" ca="1" si="16"/>
        <v>126</v>
      </c>
      <c r="M280" s="166"/>
      <c r="N280" s="144"/>
      <c r="O280" s="145">
        <f t="shared" si="17"/>
        <v>0</v>
      </c>
      <c r="P280" s="168" t="e">
        <f>IF(N280="PRIMERA",
   VLOOKUP(O280,MAESTRO!M:O,2,FALSE),
   VLOOKUP(O280,MAESTRO!M:O,3,FALSE)
)</f>
        <v>#N/A</v>
      </c>
      <c r="Q280" s="148"/>
      <c r="R280" s="148" t="e">
        <f>VLOOKUP(Q280,MAESTRO!$P$5:$Q$8,2,FALSE)</f>
        <v>#N/A</v>
      </c>
      <c r="S280" s="149" t="str">
        <f t="shared" si="14"/>
        <v>NO ES TITULAR</v>
      </c>
      <c r="T280" s="154" t="str">
        <f t="shared" si="15"/>
        <v>NO ES TITULAR</v>
      </c>
      <c r="U280" s="157"/>
      <c r="V280" s="155"/>
      <c r="W280" s="140"/>
    </row>
    <row r="281" spans="1:23" ht="15.75" customHeight="1">
      <c r="A281" s="148"/>
      <c r="B281" s="148"/>
      <c r="C281" s="158" t="e">
        <f>VLOOKUP(B281,MAESTRO!$D$4:$E$10,2,FALSE)</f>
        <v>#N/A</v>
      </c>
      <c r="D281" s="145" t="e">
        <f t="shared" si="18"/>
        <v>#N/A</v>
      </c>
      <c r="E281" s="160"/>
      <c r="F281" s="140"/>
      <c r="G281" s="141" t="e">
        <f>VLOOKUP(F281,MAESTRO!$G$4:$H$14,2,FALSE)</f>
        <v>#N/A</v>
      </c>
      <c r="H281" s="140"/>
      <c r="I281" s="140"/>
      <c r="J281" s="143"/>
      <c r="K281" s="163"/>
      <c r="L281" s="145">
        <f t="shared" ca="1" si="16"/>
        <v>126</v>
      </c>
      <c r="M281" s="166"/>
      <c r="N281" s="144"/>
      <c r="O281" s="145">
        <f t="shared" si="17"/>
        <v>0</v>
      </c>
      <c r="P281" s="168" t="e">
        <f>IF(N281="PRIMERA",
   VLOOKUP(O281,MAESTRO!M:O,2,FALSE),
   VLOOKUP(O281,MAESTRO!M:O,3,FALSE)
)</f>
        <v>#N/A</v>
      </c>
      <c r="Q281" s="148"/>
      <c r="R281" s="148" t="e">
        <f>VLOOKUP(Q281,MAESTRO!$P$5:$Q$8,2,FALSE)</f>
        <v>#N/A</v>
      </c>
      <c r="S281" s="149" t="str">
        <f t="shared" si="14"/>
        <v>NO ES TITULAR</v>
      </c>
      <c r="T281" s="154" t="str">
        <f t="shared" si="15"/>
        <v>NO ES TITULAR</v>
      </c>
      <c r="U281" s="157"/>
      <c r="V281" s="155"/>
      <c r="W281" s="140"/>
    </row>
    <row r="282" spans="1:23" ht="15.75" customHeight="1">
      <c r="A282" s="148"/>
      <c r="B282" s="148"/>
      <c r="C282" s="158" t="e">
        <f>VLOOKUP(B282,MAESTRO!$D$4:$E$10,2,FALSE)</f>
        <v>#N/A</v>
      </c>
      <c r="D282" s="145" t="e">
        <f t="shared" si="18"/>
        <v>#N/A</v>
      </c>
      <c r="E282" s="160"/>
      <c r="F282" s="140"/>
      <c r="G282" s="141" t="e">
        <f>VLOOKUP(F282,MAESTRO!$G$4:$H$14,2,FALSE)</f>
        <v>#N/A</v>
      </c>
      <c r="H282" s="140"/>
      <c r="I282" s="140"/>
      <c r="J282" s="143"/>
      <c r="K282" s="163"/>
      <c r="L282" s="145">
        <f t="shared" ca="1" si="16"/>
        <v>126</v>
      </c>
      <c r="M282" s="166"/>
      <c r="N282" s="144"/>
      <c r="O282" s="145">
        <f t="shared" si="17"/>
        <v>0</v>
      </c>
      <c r="P282" s="168" t="e">
        <f>IF(N282="PRIMERA",
   VLOOKUP(O282,MAESTRO!M:O,2,FALSE),
   VLOOKUP(O282,MAESTRO!M:O,3,FALSE)
)</f>
        <v>#N/A</v>
      </c>
      <c r="Q282" s="148"/>
      <c r="R282" s="148" t="e">
        <f>VLOOKUP(Q282,MAESTRO!$P$5:$Q$8,2,FALSE)</f>
        <v>#N/A</v>
      </c>
      <c r="S282" s="149" t="str">
        <f t="shared" si="14"/>
        <v>NO ES TITULAR</v>
      </c>
      <c r="T282" s="154" t="str">
        <f t="shared" si="15"/>
        <v>NO ES TITULAR</v>
      </c>
      <c r="U282" s="157"/>
      <c r="V282" s="155"/>
      <c r="W282" s="140"/>
    </row>
    <row r="283" spans="1:23" ht="15.75" customHeight="1">
      <c r="A283" s="148"/>
      <c r="B283" s="148"/>
      <c r="C283" s="158" t="e">
        <f>VLOOKUP(B283,MAESTRO!$D$4:$E$10,2,FALSE)</f>
        <v>#N/A</v>
      </c>
      <c r="D283" s="145" t="e">
        <f t="shared" si="18"/>
        <v>#N/A</v>
      </c>
      <c r="E283" s="160"/>
      <c r="F283" s="140"/>
      <c r="G283" s="141" t="e">
        <f>VLOOKUP(F283,MAESTRO!$G$4:$H$14,2,FALSE)</f>
        <v>#N/A</v>
      </c>
      <c r="H283" s="140"/>
      <c r="I283" s="140"/>
      <c r="J283" s="143"/>
      <c r="K283" s="163"/>
      <c r="L283" s="145">
        <f t="shared" ca="1" si="16"/>
        <v>126</v>
      </c>
      <c r="M283" s="166"/>
      <c r="N283" s="144"/>
      <c r="O283" s="145">
        <f t="shared" si="17"/>
        <v>0</v>
      </c>
      <c r="P283" s="168" t="e">
        <f>IF(N283="PRIMERA",
   VLOOKUP(O283,MAESTRO!M:O,2,FALSE),
   VLOOKUP(O283,MAESTRO!M:O,3,FALSE)
)</f>
        <v>#N/A</v>
      </c>
      <c r="Q283" s="148"/>
      <c r="R283" s="148" t="e">
        <f>VLOOKUP(Q283,MAESTRO!$P$5:$Q$8,2,FALSE)</f>
        <v>#N/A</v>
      </c>
      <c r="S283" s="149" t="str">
        <f t="shared" si="14"/>
        <v>NO ES TITULAR</v>
      </c>
      <c r="T283" s="154" t="str">
        <f t="shared" si="15"/>
        <v>NO ES TITULAR</v>
      </c>
      <c r="U283" s="157"/>
      <c r="V283" s="155"/>
      <c r="W283" s="140"/>
    </row>
    <row r="284" spans="1:23" ht="15.75" customHeight="1">
      <c r="A284" s="148"/>
      <c r="B284" s="148"/>
      <c r="C284" s="158" t="e">
        <f>VLOOKUP(B284,MAESTRO!$D$4:$E$10,2,FALSE)</f>
        <v>#N/A</v>
      </c>
      <c r="D284" s="145" t="e">
        <f t="shared" si="18"/>
        <v>#N/A</v>
      </c>
      <c r="E284" s="160"/>
      <c r="F284" s="140"/>
      <c r="G284" s="141" t="e">
        <f>VLOOKUP(F284,MAESTRO!$G$4:$H$14,2,FALSE)</f>
        <v>#N/A</v>
      </c>
      <c r="H284" s="140"/>
      <c r="I284" s="140"/>
      <c r="J284" s="143"/>
      <c r="K284" s="163"/>
      <c r="L284" s="145">
        <f t="shared" ca="1" si="16"/>
        <v>126</v>
      </c>
      <c r="M284" s="166"/>
      <c r="N284" s="144"/>
      <c r="O284" s="145">
        <f t="shared" si="17"/>
        <v>0</v>
      </c>
      <c r="P284" s="168" t="e">
        <f>IF(N284="PRIMERA",
   VLOOKUP(O284,MAESTRO!M:O,2,FALSE),
   VLOOKUP(O284,MAESTRO!M:O,3,FALSE)
)</f>
        <v>#N/A</v>
      </c>
      <c r="Q284" s="148"/>
      <c r="R284" s="148" t="e">
        <f>VLOOKUP(Q284,MAESTRO!$P$5:$Q$8,2,FALSE)</f>
        <v>#N/A</v>
      </c>
      <c r="S284" s="149" t="str">
        <f t="shared" si="14"/>
        <v>NO ES TITULAR</v>
      </c>
      <c r="T284" s="154" t="str">
        <f t="shared" si="15"/>
        <v>NO ES TITULAR</v>
      </c>
      <c r="U284" s="157"/>
      <c r="V284" s="155"/>
      <c r="W284" s="140"/>
    </row>
    <row r="285" spans="1:23" ht="15.75" customHeight="1">
      <c r="A285" s="148"/>
      <c r="B285" s="148"/>
      <c r="C285" s="158" t="e">
        <f>VLOOKUP(B285,MAESTRO!$D$4:$E$10,2,FALSE)</f>
        <v>#N/A</v>
      </c>
      <c r="D285" s="145" t="e">
        <f t="shared" si="18"/>
        <v>#N/A</v>
      </c>
      <c r="E285" s="160"/>
      <c r="F285" s="140"/>
      <c r="G285" s="141" t="e">
        <f>VLOOKUP(F285,MAESTRO!$G$4:$H$14,2,FALSE)</f>
        <v>#N/A</v>
      </c>
      <c r="H285" s="140"/>
      <c r="I285" s="140"/>
      <c r="J285" s="143"/>
      <c r="K285" s="163"/>
      <c r="L285" s="145">
        <f t="shared" ca="1" si="16"/>
        <v>126</v>
      </c>
      <c r="M285" s="166"/>
      <c r="N285" s="144"/>
      <c r="O285" s="145">
        <f t="shared" si="17"/>
        <v>0</v>
      </c>
      <c r="P285" s="168" t="e">
        <f>IF(N285="PRIMERA",
   VLOOKUP(O285,MAESTRO!M:O,2,FALSE),
   VLOOKUP(O285,MAESTRO!M:O,3,FALSE)
)</f>
        <v>#N/A</v>
      </c>
      <c r="Q285" s="148"/>
      <c r="R285" s="148" t="e">
        <f>VLOOKUP(Q285,MAESTRO!$P$5:$Q$8,2,FALSE)</f>
        <v>#N/A</v>
      </c>
      <c r="S285" s="149" t="str">
        <f t="shared" si="14"/>
        <v>NO ES TITULAR</v>
      </c>
      <c r="T285" s="154" t="str">
        <f t="shared" si="15"/>
        <v>NO ES TITULAR</v>
      </c>
      <c r="U285" s="157"/>
      <c r="V285" s="155"/>
      <c r="W285" s="140"/>
    </row>
    <row r="286" spans="1:23" ht="15.75" customHeight="1">
      <c r="A286" s="148"/>
      <c r="B286" s="148"/>
      <c r="C286" s="158" t="e">
        <f>VLOOKUP(B286,MAESTRO!$D$4:$E$10,2,FALSE)</f>
        <v>#N/A</v>
      </c>
      <c r="D286" s="145" t="e">
        <f t="shared" si="18"/>
        <v>#N/A</v>
      </c>
      <c r="E286" s="160"/>
      <c r="F286" s="140"/>
      <c r="G286" s="141" t="e">
        <f>VLOOKUP(F286,MAESTRO!$G$4:$H$14,2,FALSE)</f>
        <v>#N/A</v>
      </c>
      <c r="H286" s="140"/>
      <c r="I286" s="140"/>
      <c r="J286" s="143"/>
      <c r="K286" s="163"/>
      <c r="L286" s="145">
        <f t="shared" ca="1" si="16"/>
        <v>126</v>
      </c>
      <c r="M286" s="166"/>
      <c r="N286" s="144"/>
      <c r="O286" s="145">
        <f t="shared" si="17"/>
        <v>0</v>
      </c>
      <c r="P286" s="168" t="e">
        <f>IF(N286="PRIMERA",
   VLOOKUP(O286,MAESTRO!M:O,2,FALSE),
   VLOOKUP(O286,MAESTRO!M:O,3,FALSE)
)</f>
        <v>#N/A</v>
      </c>
      <c r="Q286" s="148"/>
      <c r="R286" s="148" t="e">
        <f>VLOOKUP(Q286,MAESTRO!$P$5:$Q$8,2,FALSE)</f>
        <v>#N/A</v>
      </c>
      <c r="S286" s="149" t="str">
        <f t="shared" si="14"/>
        <v>NO ES TITULAR</v>
      </c>
      <c r="T286" s="154" t="str">
        <f t="shared" si="15"/>
        <v>NO ES TITULAR</v>
      </c>
      <c r="U286" s="157"/>
      <c r="V286" s="155"/>
      <c r="W286" s="140"/>
    </row>
    <row r="287" spans="1:23" ht="15.75" customHeight="1">
      <c r="A287" s="148"/>
      <c r="B287" s="148"/>
      <c r="C287" s="158" t="e">
        <f>VLOOKUP(B287,MAESTRO!$D$4:$E$10,2,FALSE)</f>
        <v>#N/A</v>
      </c>
      <c r="D287" s="145" t="e">
        <f t="shared" si="18"/>
        <v>#N/A</v>
      </c>
      <c r="E287" s="160"/>
      <c r="F287" s="140"/>
      <c r="G287" s="141" t="e">
        <f>VLOOKUP(F287,MAESTRO!$G$4:$H$14,2,FALSE)</f>
        <v>#N/A</v>
      </c>
      <c r="H287" s="140"/>
      <c r="I287" s="140"/>
      <c r="J287" s="143"/>
      <c r="K287" s="163"/>
      <c r="L287" s="145">
        <f t="shared" ca="1" si="16"/>
        <v>126</v>
      </c>
      <c r="M287" s="166"/>
      <c r="N287" s="144"/>
      <c r="O287" s="145">
        <f t="shared" si="17"/>
        <v>0</v>
      </c>
      <c r="P287" s="168" t="e">
        <f>IF(N287="PRIMERA",
   VLOOKUP(O287,MAESTRO!M:O,2,FALSE),
   VLOOKUP(O287,MAESTRO!M:O,3,FALSE)
)</f>
        <v>#N/A</v>
      </c>
      <c r="Q287" s="148"/>
      <c r="R287" s="148" t="e">
        <f>VLOOKUP(Q287,MAESTRO!$P$5:$Q$8,2,FALSE)</f>
        <v>#N/A</v>
      </c>
      <c r="S287" s="149" t="str">
        <f t="shared" si="14"/>
        <v>NO ES TITULAR</v>
      </c>
      <c r="T287" s="154" t="str">
        <f t="shared" si="15"/>
        <v>NO ES TITULAR</v>
      </c>
      <c r="U287" s="157"/>
      <c r="V287" s="155"/>
      <c r="W287" s="140"/>
    </row>
    <row r="288" spans="1:23" ht="15.75" customHeight="1">
      <c r="A288" s="148"/>
      <c r="B288" s="148"/>
      <c r="C288" s="158" t="e">
        <f>VLOOKUP(B288,MAESTRO!$D$4:$E$10,2,FALSE)</f>
        <v>#N/A</v>
      </c>
      <c r="D288" s="145" t="e">
        <f t="shared" si="18"/>
        <v>#N/A</v>
      </c>
      <c r="E288" s="160"/>
      <c r="F288" s="140"/>
      <c r="G288" s="141" t="e">
        <f>VLOOKUP(F288,MAESTRO!$G$4:$H$14,2,FALSE)</f>
        <v>#N/A</v>
      </c>
      <c r="H288" s="140"/>
      <c r="I288" s="140"/>
      <c r="J288" s="143"/>
      <c r="K288" s="163"/>
      <c r="L288" s="145">
        <f t="shared" ca="1" si="16"/>
        <v>126</v>
      </c>
      <c r="M288" s="166"/>
      <c r="N288" s="144"/>
      <c r="O288" s="145">
        <f t="shared" si="17"/>
        <v>0</v>
      </c>
      <c r="P288" s="168" t="e">
        <f>IF(N288="PRIMERA",
   VLOOKUP(O288,MAESTRO!M:O,2,FALSE),
   VLOOKUP(O288,MAESTRO!M:O,3,FALSE)
)</f>
        <v>#N/A</v>
      </c>
      <c r="Q288" s="148"/>
      <c r="R288" s="148" t="e">
        <f>VLOOKUP(Q288,MAESTRO!$P$5:$Q$8,2,FALSE)</f>
        <v>#N/A</v>
      </c>
      <c r="S288" s="149" t="str">
        <f t="shared" si="14"/>
        <v>NO ES TITULAR</v>
      </c>
      <c r="T288" s="154" t="str">
        <f t="shared" si="15"/>
        <v>NO ES TITULAR</v>
      </c>
      <c r="U288" s="157"/>
      <c r="V288" s="155"/>
      <c r="W288" s="140"/>
    </row>
    <row r="289" spans="1:23" ht="15.75" customHeight="1">
      <c r="A289" s="148"/>
      <c r="B289" s="148"/>
      <c r="C289" s="158" t="e">
        <f>VLOOKUP(B289,MAESTRO!$D$4:$E$10,2,FALSE)</f>
        <v>#N/A</v>
      </c>
      <c r="D289" s="145" t="e">
        <f t="shared" si="18"/>
        <v>#N/A</v>
      </c>
      <c r="E289" s="160"/>
      <c r="F289" s="140"/>
      <c r="G289" s="141" t="e">
        <f>VLOOKUP(F289,MAESTRO!$G$4:$H$14,2,FALSE)</f>
        <v>#N/A</v>
      </c>
      <c r="H289" s="140"/>
      <c r="I289" s="140"/>
      <c r="J289" s="143"/>
      <c r="K289" s="163"/>
      <c r="L289" s="145">
        <f t="shared" ca="1" si="16"/>
        <v>126</v>
      </c>
      <c r="M289" s="166"/>
      <c r="N289" s="144"/>
      <c r="O289" s="145">
        <f t="shared" si="17"/>
        <v>0</v>
      </c>
      <c r="P289" s="168" t="e">
        <f>IF(N289="PRIMERA",
   VLOOKUP(O289,MAESTRO!M:O,2,FALSE),
   VLOOKUP(O289,MAESTRO!M:O,3,FALSE)
)</f>
        <v>#N/A</v>
      </c>
      <c r="Q289" s="148"/>
      <c r="R289" s="148" t="e">
        <f>VLOOKUP(Q289,MAESTRO!$P$5:$Q$8,2,FALSE)</f>
        <v>#N/A</v>
      </c>
      <c r="S289" s="149" t="str">
        <f t="shared" si="14"/>
        <v>NO ES TITULAR</v>
      </c>
      <c r="T289" s="154" t="str">
        <f t="shared" si="15"/>
        <v>NO ES TITULAR</v>
      </c>
      <c r="U289" s="157"/>
      <c r="V289" s="155"/>
      <c r="W289" s="140"/>
    </row>
    <row r="290" spans="1:23" ht="15.75" customHeight="1">
      <c r="A290" s="148"/>
      <c r="B290" s="148"/>
      <c r="C290" s="158" t="e">
        <f>VLOOKUP(B290,MAESTRO!$D$4:$E$10,2,FALSE)</f>
        <v>#N/A</v>
      </c>
      <c r="D290" s="145" t="e">
        <f t="shared" si="18"/>
        <v>#N/A</v>
      </c>
      <c r="E290" s="160"/>
      <c r="F290" s="140"/>
      <c r="G290" s="141" t="e">
        <f>VLOOKUP(F290,MAESTRO!$G$4:$H$14,2,FALSE)</f>
        <v>#N/A</v>
      </c>
      <c r="H290" s="140"/>
      <c r="I290" s="140"/>
      <c r="J290" s="143"/>
      <c r="K290" s="163"/>
      <c r="L290" s="145">
        <f t="shared" ca="1" si="16"/>
        <v>126</v>
      </c>
      <c r="M290" s="166"/>
      <c r="N290" s="144"/>
      <c r="O290" s="145">
        <f t="shared" si="17"/>
        <v>0</v>
      </c>
      <c r="P290" s="168" t="e">
        <f>IF(N290="PRIMERA",
   VLOOKUP(O290,MAESTRO!M:O,2,FALSE),
   VLOOKUP(O290,MAESTRO!M:O,3,FALSE)
)</f>
        <v>#N/A</v>
      </c>
      <c r="Q290" s="148"/>
      <c r="R290" s="148" t="e">
        <f>VLOOKUP(Q290,MAESTRO!$P$5:$Q$8,2,FALSE)</f>
        <v>#N/A</v>
      </c>
      <c r="S290" s="149" t="str">
        <f t="shared" si="14"/>
        <v>NO ES TITULAR</v>
      </c>
      <c r="T290" s="154" t="str">
        <f t="shared" si="15"/>
        <v>NO ES TITULAR</v>
      </c>
      <c r="U290" s="157"/>
      <c r="V290" s="155"/>
      <c r="W290" s="140"/>
    </row>
    <row r="291" spans="1:23" ht="15.75" customHeight="1">
      <c r="A291" s="148"/>
      <c r="B291" s="148"/>
      <c r="C291" s="158" t="e">
        <f>VLOOKUP(B291,MAESTRO!$D$4:$E$10,2,FALSE)</f>
        <v>#N/A</v>
      </c>
      <c r="D291" s="145" t="e">
        <f t="shared" si="18"/>
        <v>#N/A</v>
      </c>
      <c r="E291" s="160"/>
      <c r="F291" s="140"/>
      <c r="G291" s="141" t="e">
        <f>VLOOKUP(F291,MAESTRO!$G$4:$H$14,2,FALSE)</f>
        <v>#N/A</v>
      </c>
      <c r="H291" s="140"/>
      <c r="I291" s="140"/>
      <c r="J291" s="143"/>
      <c r="K291" s="163"/>
      <c r="L291" s="145">
        <f t="shared" ca="1" si="16"/>
        <v>126</v>
      </c>
      <c r="M291" s="166"/>
      <c r="N291" s="144"/>
      <c r="O291" s="145">
        <f t="shared" si="17"/>
        <v>0</v>
      </c>
      <c r="P291" s="168" t="e">
        <f>IF(N291="PRIMERA",
   VLOOKUP(O291,MAESTRO!M:O,2,FALSE),
   VLOOKUP(O291,MAESTRO!M:O,3,FALSE)
)</f>
        <v>#N/A</v>
      </c>
      <c r="Q291" s="148"/>
      <c r="R291" s="148" t="e">
        <f>VLOOKUP(Q291,MAESTRO!$P$5:$Q$8,2,FALSE)</f>
        <v>#N/A</v>
      </c>
      <c r="S291" s="149" t="str">
        <f t="shared" si="14"/>
        <v>NO ES TITULAR</v>
      </c>
      <c r="T291" s="154" t="str">
        <f t="shared" si="15"/>
        <v>NO ES TITULAR</v>
      </c>
      <c r="U291" s="157"/>
      <c r="V291" s="155"/>
      <c r="W291" s="140"/>
    </row>
    <row r="292" spans="1:23" ht="15.75" customHeight="1">
      <c r="A292" s="148"/>
      <c r="B292" s="148"/>
      <c r="C292" s="158" t="e">
        <f>VLOOKUP(B292,MAESTRO!$D$4:$E$10,2,FALSE)</f>
        <v>#N/A</v>
      </c>
      <c r="D292" s="145" t="e">
        <f t="shared" si="18"/>
        <v>#N/A</v>
      </c>
      <c r="E292" s="160"/>
      <c r="F292" s="140"/>
      <c r="G292" s="141" t="e">
        <f>VLOOKUP(F292,MAESTRO!$G$4:$H$14,2,FALSE)</f>
        <v>#N/A</v>
      </c>
      <c r="H292" s="140"/>
      <c r="I292" s="140"/>
      <c r="J292" s="143"/>
      <c r="K292" s="163"/>
      <c r="L292" s="145">
        <f t="shared" ca="1" si="16"/>
        <v>126</v>
      </c>
      <c r="M292" s="166"/>
      <c r="N292" s="144"/>
      <c r="O292" s="145">
        <f t="shared" si="17"/>
        <v>0</v>
      </c>
      <c r="P292" s="168" t="e">
        <f>IF(N292="PRIMERA",
   VLOOKUP(O292,MAESTRO!M:O,2,FALSE),
   VLOOKUP(O292,MAESTRO!M:O,3,FALSE)
)</f>
        <v>#N/A</v>
      </c>
      <c r="Q292" s="148"/>
      <c r="R292" s="148" t="e">
        <f>VLOOKUP(Q292,MAESTRO!$P$5:$Q$8,2,FALSE)</f>
        <v>#N/A</v>
      </c>
      <c r="S292" s="149" t="str">
        <f t="shared" si="14"/>
        <v>NO ES TITULAR</v>
      </c>
      <c r="T292" s="154" t="str">
        <f t="shared" si="15"/>
        <v>NO ES TITULAR</v>
      </c>
      <c r="U292" s="157"/>
      <c r="V292" s="155"/>
      <c r="W292" s="140"/>
    </row>
    <row r="293" spans="1:23" ht="15.75" customHeight="1">
      <c r="A293" s="148"/>
      <c r="B293" s="148"/>
      <c r="C293" s="158" t="e">
        <f>VLOOKUP(B293,MAESTRO!$D$4:$E$10,2,FALSE)</f>
        <v>#N/A</v>
      </c>
      <c r="D293" s="145" t="e">
        <f t="shared" si="18"/>
        <v>#N/A</v>
      </c>
      <c r="E293" s="160"/>
      <c r="F293" s="140"/>
      <c r="G293" s="141" t="e">
        <f>VLOOKUP(F293,MAESTRO!$G$4:$H$14,2,FALSE)</f>
        <v>#N/A</v>
      </c>
      <c r="H293" s="140"/>
      <c r="I293" s="140"/>
      <c r="J293" s="143"/>
      <c r="K293" s="163"/>
      <c r="L293" s="145">
        <f t="shared" ca="1" si="16"/>
        <v>126</v>
      </c>
      <c r="M293" s="166"/>
      <c r="N293" s="144"/>
      <c r="O293" s="145">
        <f t="shared" si="17"/>
        <v>0</v>
      </c>
      <c r="P293" s="168" t="e">
        <f>IF(N293="PRIMERA",
   VLOOKUP(O293,MAESTRO!M:O,2,FALSE),
   VLOOKUP(O293,MAESTRO!M:O,3,FALSE)
)</f>
        <v>#N/A</v>
      </c>
      <c r="Q293" s="148"/>
      <c r="R293" s="148" t="e">
        <f>VLOOKUP(Q293,MAESTRO!$P$5:$Q$8,2,FALSE)</f>
        <v>#N/A</v>
      </c>
      <c r="S293" s="149" t="str">
        <f t="shared" si="14"/>
        <v>NO ES TITULAR</v>
      </c>
      <c r="T293" s="154" t="str">
        <f t="shared" si="15"/>
        <v>NO ES TITULAR</v>
      </c>
      <c r="U293" s="157"/>
      <c r="V293" s="155"/>
      <c r="W293" s="140"/>
    </row>
    <row r="294" spans="1:23" ht="15.75" customHeight="1">
      <c r="A294" s="148"/>
      <c r="B294" s="148"/>
      <c r="C294" s="158" t="e">
        <f>VLOOKUP(B294,MAESTRO!$D$4:$E$10,2,FALSE)</f>
        <v>#N/A</v>
      </c>
      <c r="D294" s="145" t="e">
        <f t="shared" si="18"/>
        <v>#N/A</v>
      </c>
      <c r="E294" s="160"/>
      <c r="F294" s="140"/>
      <c r="G294" s="141" t="e">
        <f>VLOOKUP(F294,MAESTRO!$G$4:$H$14,2,FALSE)</f>
        <v>#N/A</v>
      </c>
      <c r="H294" s="140"/>
      <c r="I294" s="140"/>
      <c r="J294" s="143"/>
      <c r="K294" s="163"/>
      <c r="L294" s="145">
        <f t="shared" ca="1" si="16"/>
        <v>126</v>
      </c>
      <c r="M294" s="166"/>
      <c r="N294" s="144"/>
      <c r="O294" s="145">
        <f t="shared" si="17"/>
        <v>0</v>
      </c>
      <c r="P294" s="168" t="e">
        <f>IF(N294="PRIMERA",
   VLOOKUP(O294,MAESTRO!M:O,2,FALSE),
   VLOOKUP(O294,MAESTRO!M:O,3,FALSE)
)</f>
        <v>#N/A</v>
      </c>
      <c r="Q294" s="148"/>
      <c r="R294" s="148" t="e">
        <f>VLOOKUP(Q294,MAESTRO!$P$5:$Q$8,2,FALSE)</f>
        <v>#N/A</v>
      </c>
      <c r="S294" s="149" t="str">
        <f t="shared" si="14"/>
        <v>NO ES TITULAR</v>
      </c>
      <c r="T294" s="154" t="str">
        <f t="shared" si="15"/>
        <v>NO ES TITULAR</v>
      </c>
      <c r="U294" s="157"/>
      <c r="V294" s="155"/>
      <c r="W294" s="140"/>
    </row>
    <row r="295" spans="1:23" ht="15.75" customHeight="1">
      <c r="A295" s="148"/>
      <c r="B295" s="148"/>
      <c r="C295" s="158" t="e">
        <f>VLOOKUP(B295,MAESTRO!$D$4:$E$10,2,FALSE)</f>
        <v>#N/A</v>
      </c>
      <c r="D295" s="145" t="e">
        <f t="shared" si="18"/>
        <v>#N/A</v>
      </c>
      <c r="E295" s="160"/>
      <c r="F295" s="140"/>
      <c r="G295" s="141" t="e">
        <f>VLOOKUP(F295,MAESTRO!$G$4:$H$14,2,FALSE)</f>
        <v>#N/A</v>
      </c>
      <c r="H295" s="140"/>
      <c r="I295" s="140"/>
      <c r="J295" s="143"/>
      <c r="K295" s="163"/>
      <c r="L295" s="145">
        <f t="shared" ca="1" si="16"/>
        <v>126</v>
      </c>
      <c r="M295" s="166"/>
      <c r="N295" s="144"/>
      <c r="O295" s="145">
        <f t="shared" si="17"/>
        <v>0</v>
      </c>
      <c r="P295" s="168" t="e">
        <f>IF(N295="PRIMERA",
   VLOOKUP(O295,MAESTRO!M:O,2,FALSE),
   VLOOKUP(O295,MAESTRO!M:O,3,FALSE)
)</f>
        <v>#N/A</v>
      </c>
      <c r="Q295" s="148"/>
      <c r="R295" s="148" t="e">
        <f>VLOOKUP(Q295,MAESTRO!$P$5:$Q$8,2,FALSE)</f>
        <v>#N/A</v>
      </c>
      <c r="S295" s="149" t="str">
        <f t="shared" si="14"/>
        <v>NO ES TITULAR</v>
      </c>
      <c r="T295" s="154" t="str">
        <f t="shared" si="15"/>
        <v>NO ES TITULAR</v>
      </c>
      <c r="U295" s="157"/>
      <c r="V295" s="155"/>
      <c r="W295" s="140"/>
    </row>
    <row r="296" spans="1:23" ht="15.75" customHeight="1">
      <c r="A296" s="148"/>
      <c r="B296" s="148"/>
      <c r="C296" s="158" t="e">
        <f>VLOOKUP(B296,MAESTRO!$D$4:$E$10,2,FALSE)</f>
        <v>#N/A</v>
      </c>
      <c r="D296" s="145" t="e">
        <f t="shared" si="18"/>
        <v>#N/A</v>
      </c>
      <c r="E296" s="160"/>
      <c r="F296" s="140"/>
      <c r="G296" s="141" t="e">
        <f>VLOOKUP(F296,MAESTRO!$G$4:$H$14,2,FALSE)</f>
        <v>#N/A</v>
      </c>
      <c r="H296" s="140"/>
      <c r="I296" s="140"/>
      <c r="J296" s="143"/>
      <c r="K296" s="163"/>
      <c r="L296" s="145">
        <f t="shared" ca="1" si="16"/>
        <v>126</v>
      </c>
      <c r="M296" s="166"/>
      <c r="N296" s="144"/>
      <c r="O296" s="145">
        <f t="shared" si="17"/>
        <v>0</v>
      </c>
      <c r="P296" s="168" t="e">
        <f>IF(N296="PRIMERA",
   VLOOKUP(O296,MAESTRO!M:O,2,FALSE),
   VLOOKUP(O296,MAESTRO!M:O,3,FALSE)
)</f>
        <v>#N/A</v>
      </c>
      <c r="Q296" s="148"/>
      <c r="R296" s="148" t="e">
        <f>VLOOKUP(Q296,MAESTRO!$P$5:$Q$8,2,FALSE)</f>
        <v>#N/A</v>
      </c>
      <c r="S296" s="149" t="str">
        <f t="shared" si="14"/>
        <v>NO ES TITULAR</v>
      </c>
      <c r="T296" s="154" t="str">
        <f t="shared" si="15"/>
        <v>NO ES TITULAR</v>
      </c>
      <c r="U296" s="157"/>
      <c r="V296" s="155"/>
      <c r="W296" s="140"/>
    </row>
    <row r="297" spans="1:23" ht="15.75" customHeight="1">
      <c r="A297" s="148"/>
      <c r="B297" s="148"/>
      <c r="C297" s="158" t="e">
        <f>VLOOKUP(B297,MAESTRO!$D$4:$E$10,2,FALSE)</f>
        <v>#N/A</v>
      </c>
      <c r="D297" s="145" t="e">
        <f t="shared" si="18"/>
        <v>#N/A</v>
      </c>
      <c r="E297" s="160"/>
      <c r="F297" s="140"/>
      <c r="G297" s="141" t="e">
        <f>VLOOKUP(F297,MAESTRO!$G$4:$H$14,2,FALSE)</f>
        <v>#N/A</v>
      </c>
      <c r="H297" s="140"/>
      <c r="I297" s="140"/>
      <c r="J297" s="143"/>
      <c r="K297" s="163"/>
      <c r="L297" s="145">
        <f t="shared" ca="1" si="16"/>
        <v>126</v>
      </c>
      <c r="M297" s="166"/>
      <c r="N297" s="144"/>
      <c r="O297" s="145">
        <f t="shared" si="17"/>
        <v>0</v>
      </c>
      <c r="P297" s="168" t="e">
        <f>IF(N297="PRIMERA",
   VLOOKUP(O297,MAESTRO!M:O,2,FALSE),
   VLOOKUP(O297,MAESTRO!M:O,3,FALSE)
)</f>
        <v>#N/A</v>
      </c>
      <c r="Q297" s="148"/>
      <c r="R297" s="148" t="e">
        <f>VLOOKUP(Q297,MAESTRO!$P$5:$Q$8,2,FALSE)</f>
        <v>#N/A</v>
      </c>
      <c r="S297" s="149" t="str">
        <f t="shared" si="14"/>
        <v>NO ES TITULAR</v>
      </c>
      <c r="T297" s="154" t="str">
        <f t="shared" si="15"/>
        <v>NO ES TITULAR</v>
      </c>
      <c r="U297" s="157"/>
      <c r="V297" s="155"/>
      <c r="W297" s="140"/>
    </row>
    <row r="298" spans="1:23" ht="15.75" customHeight="1">
      <c r="A298" s="148"/>
      <c r="B298" s="148"/>
      <c r="C298" s="158" t="e">
        <f>VLOOKUP(B298,MAESTRO!$D$4:$E$10,2,FALSE)</f>
        <v>#N/A</v>
      </c>
      <c r="D298" s="145" t="e">
        <f t="shared" si="18"/>
        <v>#N/A</v>
      </c>
      <c r="E298" s="160"/>
      <c r="F298" s="140"/>
      <c r="G298" s="141" t="e">
        <f>VLOOKUP(F298,MAESTRO!$G$4:$H$14,2,FALSE)</f>
        <v>#N/A</v>
      </c>
      <c r="H298" s="140"/>
      <c r="I298" s="140"/>
      <c r="J298" s="143"/>
      <c r="K298" s="163"/>
      <c r="L298" s="145">
        <f t="shared" ca="1" si="16"/>
        <v>126</v>
      </c>
      <c r="M298" s="166"/>
      <c r="N298" s="144"/>
      <c r="O298" s="145">
        <f t="shared" si="17"/>
        <v>0</v>
      </c>
      <c r="P298" s="168" t="e">
        <f>IF(N298="PRIMERA",
   VLOOKUP(O298,MAESTRO!M:O,2,FALSE),
   VLOOKUP(O298,MAESTRO!M:O,3,FALSE)
)</f>
        <v>#N/A</v>
      </c>
      <c r="Q298" s="148"/>
      <c r="R298" s="148" t="e">
        <f>VLOOKUP(Q298,MAESTRO!$P$5:$Q$8,2,FALSE)</f>
        <v>#N/A</v>
      </c>
      <c r="S298" s="149" t="str">
        <f t="shared" si="14"/>
        <v>NO ES TITULAR</v>
      </c>
      <c r="T298" s="154" t="str">
        <f t="shared" si="15"/>
        <v>NO ES TITULAR</v>
      </c>
      <c r="U298" s="157"/>
      <c r="V298" s="155"/>
      <c r="W298" s="140"/>
    </row>
    <row r="299" spans="1:23" ht="15.75" customHeight="1">
      <c r="A299" s="148"/>
      <c r="B299" s="148"/>
      <c r="C299" s="158" t="e">
        <f>VLOOKUP(B299,MAESTRO!$D$4:$E$10,2,FALSE)</f>
        <v>#N/A</v>
      </c>
      <c r="D299" s="145" t="e">
        <f t="shared" si="18"/>
        <v>#N/A</v>
      </c>
      <c r="E299" s="160"/>
      <c r="F299" s="140"/>
      <c r="G299" s="141" t="e">
        <f>VLOOKUP(F299,MAESTRO!$G$4:$H$14,2,FALSE)</f>
        <v>#N/A</v>
      </c>
      <c r="H299" s="140"/>
      <c r="I299" s="140"/>
      <c r="J299" s="143"/>
      <c r="K299" s="163"/>
      <c r="L299" s="145">
        <f t="shared" ca="1" si="16"/>
        <v>126</v>
      </c>
      <c r="M299" s="166"/>
      <c r="N299" s="144"/>
      <c r="O299" s="145">
        <f t="shared" si="17"/>
        <v>0</v>
      </c>
      <c r="P299" s="168" t="e">
        <f>IF(N299="PRIMERA",
   VLOOKUP(O299,MAESTRO!M:O,2,FALSE),
   VLOOKUP(O299,MAESTRO!M:O,3,FALSE)
)</f>
        <v>#N/A</v>
      </c>
      <c r="Q299" s="148"/>
      <c r="R299" s="148" t="e">
        <f>VLOOKUP(Q299,MAESTRO!$P$5:$Q$8,2,FALSE)</f>
        <v>#N/A</v>
      </c>
      <c r="S299" s="149" t="str">
        <f t="shared" si="14"/>
        <v>NO ES TITULAR</v>
      </c>
      <c r="T299" s="154" t="str">
        <f t="shared" si="15"/>
        <v>NO ES TITULAR</v>
      </c>
      <c r="U299" s="157"/>
      <c r="V299" s="155"/>
      <c r="W299" s="140"/>
    </row>
    <row r="300" spans="1:23" ht="15.75" customHeight="1">
      <c r="A300" s="148"/>
      <c r="B300" s="148"/>
      <c r="C300" s="158" t="e">
        <f>VLOOKUP(B300,MAESTRO!$D$4:$E$10,2,FALSE)</f>
        <v>#N/A</v>
      </c>
      <c r="D300" s="145" t="e">
        <f t="shared" si="18"/>
        <v>#N/A</v>
      </c>
      <c r="E300" s="160"/>
      <c r="F300" s="140"/>
      <c r="G300" s="141" t="e">
        <f>VLOOKUP(F300,MAESTRO!$G$4:$H$14,2,FALSE)</f>
        <v>#N/A</v>
      </c>
      <c r="H300" s="140"/>
      <c r="I300" s="140"/>
      <c r="J300" s="143"/>
      <c r="K300" s="163"/>
      <c r="L300" s="145">
        <f t="shared" ca="1" si="16"/>
        <v>126</v>
      </c>
      <c r="M300" s="166"/>
      <c r="N300" s="144"/>
      <c r="O300" s="145">
        <f t="shared" si="17"/>
        <v>0</v>
      </c>
      <c r="P300" s="168" t="e">
        <f>IF(N300="PRIMERA",
   VLOOKUP(O300,MAESTRO!M:O,2,FALSE),
   VLOOKUP(O300,MAESTRO!M:O,3,FALSE)
)</f>
        <v>#N/A</v>
      </c>
      <c r="Q300" s="148"/>
      <c r="R300" s="148" t="e">
        <f>VLOOKUP(Q300,MAESTRO!$P$5:$Q$8,2,FALSE)</f>
        <v>#N/A</v>
      </c>
      <c r="S300" s="149" t="str">
        <f t="shared" si="14"/>
        <v>NO ES TITULAR</v>
      </c>
      <c r="T300" s="154" t="str">
        <f t="shared" si="15"/>
        <v>NO ES TITULAR</v>
      </c>
      <c r="U300" s="157"/>
      <c r="V300" s="155"/>
      <c r="W300" s="140"/>
    </row>
    <row r="301" spans="1:23" ht="15.75" customHeight="1">
      <c r="A301" s="148"/>
      <c r="B301" s="148"/>
      <c r="C301" s="158" t="e">
        <f>VLOOKUP(B301,MAESTRO!$D$4:$E$10,2,FALSE)</f>
        <v>#N/A</v>
      </c>
      <c r="D301" s="145" t="e">
        <f t="shared" si="18"/>
        <v>#N/A</v>
      </c>
      <c r="E301" s="160"/>
      <c r="F301" s="140"/>
      <c r="G301" s="141" t="e">
        <f>VLOOKUP(F301,MAESTRO!$G$4:$H$14,2,FALSE)</f>
        <v>#N/A</v>
      </c>
      <c r="H301" s="140"/>
      <c r="I301" s="140"/>
      <c r="J301" s="143"/>
      <c r="K301" s="163"/>
      <c r="L301" s="145">
        <f t="shared" ca="1" si="16"/>
        <v>126</v>
      </c>
      <c r="M301" s="166"/>
      <c r="N301" s="144"/>
      <c r="O301" s="145">
        <f t="shared" si="17"/>
        <v>0</v>
      </c>
      <c r="P301" s="168" t="e">
        <f>IF(N301="PRIMERA",
   VLOOKUP(O301,MAESTRO!M:O,2,FALSE),
   VLOOKUP(O301,MAESTRO!M:O,3,FALSE)
)</f>
        <v>#N/A</v>
      </c>
      <c r="Q301" s="148"/>
      <c r="R301" s="148" t="e">
        <f>VLOOKUP(Q301,MAESTRO!$P$5:$Q$8,2,FALSE)</f>
        <v>#N/A</v>
      </c>
      <c r="S301" s="149" t="str">
        <f t="shared" si="14"/>
        <v>NO ES TITULAR</v>
      </c>
      <c r="T301" s="154" t="str">
        <f t="shared" si="15"/>
        <v>NO ES TITULAR</v>
      </c>
      <c r="U301" s="157"/>
      <c r="V301" s="155"/>
      <c r="W301" s="140"/>
    </row>
    <row r="302" spans="1:23" ht="15.75" customHeight="1">
      <c r="A302" s="148"/>
      <c r="B302" s="148"/>
      <c r="C302" s="158" t="e">
        <f>VLOOKUP(B302,MAESTRO!$D$4:$E$10,2,FALSE)</f>
        <v>#N/A</v>
      </c>
      <c r="D302" s="145" t="e">
        <f t="shared" si="18"/>
        <v>#N/A</v>
      </c>
      <c r="E302" s="160"/>
      <c r="F302" s="140"/>
      <c r="G302" s="141" t="e">
        <f>VLOOKUP(F302,MAESTRO!$G$4:$H$14,2,FALSE)</f>
        <v>#N/A</v>
      </c>
      <c r="H302" s="140"/>
      <c r="I302" s="140"/>
      <c r="J302" s="143"/>
      <c r="K302" s="163"/>
      <c r="L302" s="145">
        <f t="shared" ca="1" si="16"/>
        <v>126</v>
      </c>
      <c r="M302" s="166"/>
      <c r="N302" s="144"/>
      <c r="O302" s="145">
        <f t="shared" si="17"/>
        <v>0</v>
      </c>
      <c r="P302" s="168" t="e">
        <f>IF(N302="PRIMERA",
   VLOOKUP(O302,MAESTRO!M:O,2,FALSE),
   VLOOKUP(O302,MAESTRO!M:O,3,FALSE)
)</f>
        <v>#N/A</v>
      </c>
      <c r="Q302" s="148"/>
      <c r="R302" s="148" t="e">
        <f>VLOOKUP(Q302,MAESTRO!$P$5:$Q$8,2,FALSE)</f>
        <v>#N/A</v>
      </c>
      <c r="S302" s="149" t="str">
        <f t="shared" si="14"/>
        <v>NO ES TITULAR</v>
      </c>
      <c r="T302" s="154" t="str">
        <f t="shared" si="15"/>
        <v>NO ES TITULAR</v>
      </c>
      <c r="U302" s="157"/>
      <c r="V302" s="155"/>
      <c r="W302" s="140"/>
    </row>
    <row r="303" spans="1:23" ht="15.75" customHeight="1">
      <c r="A303" s="148"/>
      <c r="B303" s="148"/>
      <c r="C303" s="158" t="e">
        <f>VLOOKUP(B303,MAESTRO!$D$4:$E$10,2,FALSE)</f>
        <v>#N/A</v>
      </c>
      <c r="D303" s="145" t="e">
        <f t="shared" si="18"/>
        <v>#N/A</v>
      </c>
      <c r="E303" s="160"/>
      <c r="F303" s="140"/>
      <c r="G303" s="141" t="e">
        <f>VLOOKUP(F303,MAESTRO!$G$4:$H$14,2,FALSE)</f>
        <v>#N/A</v>
      </c>
      <c r="H303" s="140"/>
      <c r="I303" s="140"/>
      <c r="J303" s="143"/>
      <c r="K303" s="163"/>
      <c r="L303" s="145">
        <f t="shared" ca="1" si="16"/>
        <v>126</v>
      </c>
      <c r="M303" s="166"/>
      <c r="N303" s="144"/>
      <c r="O303" s="145">
        <f t="shared" si="17"/>
        <v>0</v>
      </c>
      <c r="P303" s="168" t="e">
        <f>IF(N303="PRIMERA",
   VLOOKUP(O303,MAESTRO!M:O,2,FALSE),
   VLOOKUP(O303,MAESTRO!M:O,3,FALSE)
)</f>
        <v>#N/A</v>
      </c>
      <c r="Q303" s="148"/>
      <c r="R303" s="148" t="e">
        <f>VLOOKUP(Q303,MAESTRO!$P$5:$Q$8,2,FALSE)</f>
        <v>#N/A</v>
      </c>
      <c r="S303" s="149" t="str">
        <f t="shared" si="14"/>
        <v>NO ES TITULAR</v>
      </c>
      <c r="T303" s="154" t="str">
        <f t="shared" si="15"/>
        <v>NO ES TITULAR</v>
      </c>
      <c r="U303" s="157"/>
      <c r="V303" s="155"/>
      <c r="W303" s="140"/>
    </row>
    <row r="304" spans="1:23" ht="15.75" customHeight="1">
      <c r="A304" s="148"/>
      <c r="B304" s="148"/>
      <c r="C304" s="158" t="e">
        <f>VLOOKUP(B304,MAESTRO!$D$4:$E$10,2,FALSE)</f>
        <v>#N/A</v>
      </c>
      <c r="D304" s="145" t="e">
        <f t="shared" si="18"/>
        <v>#N/A</v>
      </c>
      <c r="E304" s="160"/>
      <c r="F304" s="140"/>
      <c r="G304" s="141" t="e">
        <f>VLOOKUP(F304,MAESTRO!$G$4:$H$14,2,FALSE)</f>
        <v>#N/A</v>
      </c>
      <c r="H304" s="140"/>
      <c r="I304" s="140"/>
      <c r="J304" s="143"/>
      <c r="K304" s="163"/>
      <c r="L304" s="145">
        <f t="shared" ca="1" si="16"/>
        <v>126</v>
      </c>
      <c r="M304" s="166"/>
      <c r="N304" s="144"/>
      <c r="O304" s="145">
        <f t="shared" si="17"/>
        <v>0</v>
      </c>
      <c r="P304" s="168" t="e">
        <f>IF(N304="PRIMERA",
   VLOOKUP(O304,MAESTRO!M:O,2,FALSE),
   VLOOKUP(O304,MAESTRO!M:O,3,FALSE)
)</f>
        <v>#N/A</v>
      </c>
      <c r="Q304" s="148"/>
      <c r="R304" s="148" t="e">
        <f>VLOOKUP(Q304,MAESTRO!$P$5:$Q$8,2,FALSE)</f>
        <v>#N/A</v>
      </c>
      <c r="S304" s="149" t="str">
        <f t="shared" si="14"/>
        <v>NO ES TITULAR</v>
      </c>
      <c r="T304" s="154" t="str">
        <f t="shared" si="15"/>
        <v>NO ES TITULAR</v>
      </c>
      <c r="U304" s="157"/>
      <c r="V304" s="155"/>
      <c r="W304" s="140"/>
    </row>
    <row r="305" spans="1:23" ht="15.75" customHeight="1">
      <c r="A305" s="148"/>
      <c r="B305" s="148"/>
      <c r="C305" s="158" t="e">
        <f>VLOOKUP(B305,MAESTRO!$D$4:$E$10,2,FALSE)</f>
        <v>#N/A</v>
      </c>
      <c r="D305" s="145" t="e">
        <f t="shared" si="18"/>
        <v>#N/A</v>
      </c>
      <c r="E305" s="160"/>
      <c r="F305" s="140"/>
      <c r="G305" s="141" t="e">
        <f>VLOOKUP(F305,MAESTRO!$G$4:$H$14,2,FALSE)</f>
        <v>#N/A</v>
      </c>
      <c r="H305" s="140"/>
      <c r="I305" s="140"/>
      <c r="J305" s="143"/>
      <c r="K305" s="163"/>
      <c r="L305" s="145">
        <f t="shared" ca="1" si="16"/>
        <v>126</v>
      </c>
      <c r="M305" s="166"/>
      <c r="N305" s="144"/>
      <c r="O305" s="145">
        <f t="shared" si="17"/>
        <v>0</v>
      </c>
      <c r="P305" s="168" t="e">
        <f>IF(N305="PRIMERA",
   VLOOKUP(O305,MAESTRO!M:O,2,FALSE),
   VLOOKUP(O305,MAESTRO!M:O,3,FALSE)
)</f>
        <v>#N/A</v>
      </c>
      <c r="Q305" s="148"/>
      <c r="R305" s="148" t="e">
        <f>VLOOKUP(Q305,MAESTRO!$P$5:$Q$8,2,FALSE)</f>
        <v>#N/A</v>
      </c>
      <c r="S305" s="149" t="str">
        <f t="shared" si="14"/>
        <v>NO ES TITULAR</v>
      </c>
      <c r="T305" s="154" t="str">
        <f t="shared" si="15"/>
        <v>NO ES TITULAR</v>
      </c>
      <c r="U305" s="157"/>
      <c r="V305" s="155"/>
      <c r="W305" s="140"/>
    </row>
    <row r="306" spans="1:23" ht="15.75" customHeight="1">
      <c r="A306" s="148"/>
      <c r="B306" s="148"/>
      <c r="C306" s="158" t="e">
        <f>VLOOKUP(B306,MAESTRO!$D$4:$E$10,2,FALSE)</f>
        <v>#N/A</v>
      </c>
      <c r="D306" s="145" t="e">
        <f t="shared" si="18"/>
        <v>#N/A</v>
      </c>
      <c r="E306" s="160"/>
      <c r="F306" s="140"/>
      <c r="G306" s="141" t="e">
        <f>VLOOKUP(F306,MAESTRO!$G$4:$H$14,2,FALSE)</f>
        <v>#N/A</v>
      </c>
      <c r="H306" s="140"/>
      <c r="I306" s="140"/>
      <c r="J306" s="143"/>
      <c r="K306" s="163"/>
      <c r="L306" s="145">
        <f t="shared" ca="1" si="16"/>
        <v>126</v>
      </c>
      <c r="M306" s="166"/>
      <c r="N306" s="144"/>
      <c r="O306" s="145">
        <f t="shared" si="17"/>
        <v>0</v>
      </c>
      <c r="P306" s="168" t="e">
        <f>IF(N306="PRIMERA",
   VLOOKUP(O306,MAESTRO!M:O,2,FALSE),
   VLOOKUP(O306,MAESTRO!M:O,3,FALSE)
)</f>
        <v>#N/A</v>
      </c>
      <c r="Q306" s="148"/>
      <c r="R306" s="148" t="e">
        <f>VLOOKUP(Q306,MAESTRO!$P$5:$Q$8,2,FALSE)</f>
        <v>#N/A</v>
      </c>
      <c r="S306" s="149" t="str">
        <f t="shared" si="14"/>
        <v>NO ES TITULAR</v>
      </c>
      <c r="T306" s="154" t="str">
        <f t="shared" si="15"/>
        <v>NO ES TITULAR</v>
      </c>
      <c r="U306" s="157"/>
      <c r="V306" s="155"/>
      <c r="W306" s="140"/>
    </row>
    <row r="307" spans="1:23" ht="15.75" customHeight="1">
      <c r="A307" s="148"/>
      <c r="B307" s="148"/>
      <c r="C307" s="158" t="e">
        <f>VLOOKUP(B307,MAESTRO!$D$4:$E$10,2,FALSE)</f>
        <v>#N/A</v>
      </c>
      <c r="D307" s="145" t="e">
        <f t="shared" si="18"/>
        <v>#N/A</v>
      </c>
      <c r="E307" s="160"/>
      <c r="F307" s="140"/>
      <c r="G307" s="141" t="e">
        <f>VLOOKUP(F307,MAESTRO!$G$4:$H$14,2,FALSE)</f>
        <v>#N/A</v>
      </c>
      <c r="H307" s="140"/>
      <c r="I307" s="140"/>
      <c r="J307" s="143"/>
      <c r="K307" s="163"/>
      <c r="L307" s="145">
        <f t="shared" ca="1" si="16"/>
        <v>126</v>
      </c>
      <c r="M307" s="166"/>
      <c r="N307" s="144"/>
      <c r="O307" s="145">
        <f t="shared" si="17"/>
        <v>0</v>
      </c>
      <c r="P307" s="168" t="e">
        <f>IF(N307="PRIMERA",
   VLOOKUP(O307,MAESTRO!M:O,2,FALSE),
   VLOOKUP(O307,MAESTRO!M:O,3,FALSE)
)</f>
        <v>#N/A</v>
      </c>
      <c r="Q307" s="148"/>
      <c r="R307" s="148" t="e">
        <f>VLOOKUP(Q307,MAESTRO!$P$5:$Q$8,2,FALSE)</f>
        <v>#N/A</v>
      </c>
      <c r="S307" s="149" t="str">
        <f t="shared" si="14"/>
        <v>NO ES TITULAR</v>
      </c>
      <c r="T307" s="154" t="str">
        <f t="shared" si="15"/>
        <v>NO ES TITULAR</v>
      </c>
      <c r="U307" s="157"/>
      <c r="V307" s="155"/>
      <c r="W307" s="140"/>
    </row>
    <row r="308" spans="1:23" ht="15.75" customHeight="1">
      <c r="A308" s="148"/>
      <c r="B308" s="148"/>
      <c r="C308" s="158" t="e">
        <f>VLOOKUP(B308,MAESTRO!$D$4:$E$10,2,FALSE)</f>
        <v>#N/A</v>
      </c>
      <c r="D308" s="145" t="e">
        <f t="shared" si="18"/>
        <v>#N/A</v>
      </c>
      <c r="E308" s="160"/>
      <c r="F308" s="140"/>
      <c r="G308" s="141" t="e">
        <f>VLOOKUP(F308,MAESTRO!$G$4:$H$14,2,FALSE)</f>
        <v>#N/A</v>
      </c>
      <c r="H308" s="140"/>
      <c r="I308" s="140"/>
      <c r="J308" s="143"/>
      <c r="K308" s="163"/>
      <c r="L308" s="145">
        <f t="shared" ca="1" si="16"/>
        <v>126</v>
      </c>
      <c r="M308" s="166"/>
      <c r="N308" s="144"/>
      <c r="O308" s="145">
        <f t="shared" si="17"/>
        <v>0</v>
      </c>
      <c r="P308" s="168" t="e">
        <f>IF(N308="PRIMERA",
   VLOOKUP(O308,MAESTRO!M:O,2,FALSE),
   VLOOKUP(O308,MAESTRO!M:O,3,FALSE)
)</f>
        <v>#N/A</v>
      </c>
      <c r="Q308" s="148"/>
      <c r="R308" s="148" t="e">
        <f>VLOOKUP(Q308,MAESTRO!$P$5:$Q$8,2,FALSE)</f>
        <v>#N/A</v>
      </c>
      <c r="S308" s="149" t="str">
        <f t="shared" si="14"/>
        <v>NO ES TITULAR</v>
      </c>
      <c r="T308" s="154" t="str">
        <f t="shared" si="15"/>
        <v>NO ES TITULAR</v>
      </c>
      <c r="U308" s="157"/>
      <c r="V308" s="155"/>
      <c r="W308" s="140"/>
    </row>
    <row r="309" spans="1:23" ht="15.75" customHeight="1">
      <c r="A309" s="148"/>
      <c r="B309" s="148"/>
      <c r="C309" s="158" t="e">
        <f>VLOOKUP(B309,MAESTRO!$D$4:$E$10,2,FALSE)</f>
        <v>#N/A</v>
      </c>
      <c r="D309" s="145" t="e">
        <f t="shared" si="18"/>
        <v>#N/A</v>
      </c>
      <c r="E309" s="160"/>
      <c r="F309" s="140"/>
      <c r="G309" s="141" t="e">
        <f>VLOOKUP(F309,MAESTRO!$G$4:$H$14,2,FALSE)</f>
        <v>#N/A</v>
      </c>
      <c r="H309" s="140"/>
      <c r="I309" s="140"/>
      <c r="J309" s="143"/>
      <c r="K309" s="163"/>
      <c r="L309" s="145">
        <f t="shared" ca="1" si="16"/>
        <v>126</v>
      </c>
      <c r="M309" s="166"/>
      <c r="N309" s="144"/>
      <c r="O309" s="145">
        <f t="shared" si="17"/>
        <v>0</v>
      </c>
      <c r="P309" s="168" t="e">
        <f>IF(N309="PRIMERA",
   VLOOKUP(O309,MAESTRO!M:O,2,FALSE),
   VLOOKUP(O309,MAESTRO!M:O,3,FALSE)
)</f>
        <v>#N/A</v>
      </c>
      <c r="Q309" s="148"/>
      <c r="R309" s="148" t="e">
        <f>VLOOKUP(Q309,MAESTRO!$P$5:$Q$8,2,FALSE)</f>
        <v>#N/A</v>
      </c>
      <c r="S309" s="149" t="str">
        <f t="shared" si="14"/>
        <v>NO ES TITULAR</v>
      </c>
      <c r="T309" s="154" t="str">
        <f t="shared" si="15"/>
        <v>NO ES TITULAR</v>
      </c>
      <c r="U309" s="157"/>
      <c r="V309" s="155"/>
      <c r="W309" s="140"/>
    </row>
    <row r="310" spans="1:23" ht="15.75" customHeight="1">
      <c r="A310" s="148"/>
      <c r="B310" s="148"/>
      <c r="C310" s="158" t="e">
        <f>VLOOKUP(B310,MAESTRO!$D$4:$E$10,2,FALSE)</f>
        <v>#N/A</v>
      </c>
      <c r="D310" s="145" t="e">
        <f t="shared" si="18"/>
        <v>#N/A</v>
      </c>
      <c r="E310" s="160"/>
      <c r="F310" s="140"/>
      <c r="G310" s="141" t="e">
        <f>VLOOKUP(F310,MAESTRO!$G$4:$H$14,2,FALSE)</f>
        <v>#N/A</v>
      </c>
      <c r="H310" s="140"/>
      <c r="I310" s="140"/>
      <c r="J310" s="143"/>
      <c r="K310" s="163"/>
      <c r="L310" s="145">
        <f t="shared" ca="1" si="16"/>
        <v>126</v>
      </c>
      <c r="M310" s="166"/>
      <c r="N310" s="144"/>
      <c r="O310" s="145">
        <f t="shared" si="17"/>
        <v>0</v>
      </c>
      <c r="P310" s="168" t="e">
        <f>IF(N310="PRIMERA",
   VLOOKUP(O310,MAESTRO!M:O,2,FALSE),
   VLOOKUP(O310,MAESTRO!M:O,3,FALSE)
)</f>
        <v>#N/A</v>
      </c>
      <c r="Q310" s="148"/>
      <c r="R310" s="148" t="e">
        <f>VLOOKUP(Q310,MAESTRO!$P$5:$Q$8,2,FALSE)</f>
        <v>#N/A</v>
      </c>
      <c r="S310" s="149" t="str">
        <f t="shared" si="14"/>
        <v>NO ES TITULAR</v>
      </c>
      <c r="T310" s="154" t="str">
        <f t="shared" si="15"/>
        <v>NO ES TITULAR</v>
      </c>
      <c r="U310" s="157"/>
      <c r="V310" s="155"/>
      <c r="W310" s="140"/>
    </row>
    <row r="311" spans="1:23" ht="15.75" customHeight="1">
      <c r="A311" s="148"/>
      <c r="B311" s="148"/>
      <c r="C311" s="158" t="e">
        <f>VLOOKUP(B311,MAESTRO!$D$4:$E$10,2,FALSE)</f>
        <v>#N/A</v>
      </c>
      <c r="D311" s="145" t="e">
        <f t="shared" si="18"/>
        <v>#N/A</v>
      </c>
      <c r="E311" s="160"/>
      <c r="F311" s="140"/>
      <c r="G311" s="141" t="e">
        <f>VLOOKUP(F311,MAESTRO!$G$4:$H$14,2,FALSE)</f>
        <v>#N/A</v>
      </c>
      <c r="H311" s="140"/>
      <c r="I311" s="140"/>
      <c r="J311" s="143"/>
      <c r="K311" s="163"/>
      <c r="L311" s="145">
        <f t="shared" ca="1" si="16"/>
        <v>126</v>
      </c>
      <c r="M311" s="166"/>
      <c r="N311" s="144"/>
      <c r="O311" s="145">
        <f t="shared" si="17"/>
        <v>0</v>
      </c>
      <c r="P311" s="168" t="e">
        <f>IF(N311="PRIMERA",
   VLOOKUP(O311,MAESTRO!M:O,2,FALSE),
   VLOOKUP(O311,MAESTRO!M:O,3,FALSE)
)</f>
        <v>#N/A</v>
      </c>
      <c r="Q311" s="148"/>
      <c r="R311" s="148" t="e">
        <f>VLOOKUP(Q311,MAESTRO!$P$5:$Q$8,2,FALSE)</f>
        <v>#N/A</v>
      </c>
      <c r="S311" s="149" t="str">
        <f t="shared" si="14"/>
        <v>NO ES TITULAR</v>
      </c>
      <c r="T311" s="154" t="str">
        <f t="shared" si="15"/>
        <v>NO ES TITULAR</v>
      </c>
      <c r="U311" s="157"/>
      <c r="V311" s="155"/>
      <c r="W311" s="140"/>
    </row>
    <row r="312" spans="1:23" ht="15.75" customHeight="1">
      <c r="A312" s="148"/>
      <c r="B312" s="148"/>
      <c r="C312" s="158" t="e">
        <f>VLOOKUP(B312,MAESTRO!$D$4:$E$10,2,FALSE)</f>
        <v>#N/A</v>
      </c>
      <c r="D312" s="145" t="e">
        <f t="shared" si="18"/>
        <v>#N/A</v>
      </c>
      <c r="E312" s="160"/>
      <c r="F312" s="140"/>
      <c r="G312" s="141" t="e">
        <f>VLOOKUP(F312,MAESTRO!$G$4:$H$14,2,FALSE)</f>
        <v>#N/A</v>
      </c>
      <c r="H312" s="140"/>
      <c r="I312" s="140"/>
      <c r="J312" s="143"/>
      <c r="K312" s="163"/>
      <c r="L312" s="145">
        <f t="shared" ca="1" si="16"/>
        <v>126</v>
      </c>
      <c r="M312" s="166"/>
      <c r="N312" s="144"/>
      <c r="O312" s="145">
        <f t="shared" si="17"/>
        <v>0</v>
      </c>
      <c r="P312" s="168" t="e">
        <f>IF(N312="PRIMERA",
   VLOOKUP(O312,MAESTRO!M:O,2,FALSE),
   VLOOKUP(O312,MAESTRO!M:O,3,FALSE)
)</f>
        <v>#N/A</v>
      </c>
      <c r="Q312" s="148"/>
      <c r="R312" s="148" t="e">
        <f>VLOOKUP(Q312,MAESTRO!$P$5:$Q$8,2,FALSE)</f>
        <v>#N/A</v>
      </c>
      <c r="S312" s="149" t="str">
        <f t="shared" si="14"/>
        <v>NO ES TITULAR</v>
      </c>
      <c r="T312" s="154" t="str">
        <f t="shared" si="15"/>
        <v>NO ES TITULAR</v>
      </c>
      <c r="U312" s="157"/>
      <c r="V312" s="155"/>
      <c r="W312" s="140"/>
    </row>
    <row r="313" spans="1:23" ht="15.75" customHeight="1">
      <c r="A313" s="148"/>
      <c r="B313" s="148"/>
      <c r="C313" s="158" t="e">
        <f>VLOOKUP(B313,MAESTRO!$D$4:$E$10,2,FALSE)</f>
        <v>#N/A</v>
      </c>
      <c r="D313" s="145" t="e">
        <f t="shared" si="18"/>
        <v>#N/A</v>
      </c>
      <c r="E313" s="160"/>
      <c r="F313" s="140"/>
      <c r="G313" s="141" t="e">
        <f>VLOOKUP(F313,MAESTRO!$G$4:$H$14,2,FALSE)</f>
        <v>#N/A</v>
      </c>
      <c r="H313" s="140"/>
      <c r="I313" s="140"/>
      <c r="J313" s="143"/>
      <c r="K313" s="163"/>
      <c r="L313" s="145">
        <f t="shared" ca="1" si="16"/>
        <v>126</v>
      </c>
      <c r="M313" s="166"/>
      <c r="N313" s="144"/>
      <c r="O313" s="145">
        <f t="shared" si="17"/>
        <v>0</v>
      </c>
      <c r="P313" s="168" t="e">
        <f>IF(N313="PRIMERA",
   VLOOKUP(O313,MAESTRO!M:O,2,FALSE),
   VLOOKUP(O313,MAESTRO!M:O,3,FALSE)
)</f>
        <v>#N/A</v>
      </c>
      <c r="Q313" s="148"/>
      <c r="R313" s="148" t="e">
        <f>VLOOKUP(Q313,MAESTRO!$P$5:$Q$8,2,FALSE)</f>
        <v>#N/A</v>
      </c>
      <c r="S313" s="149" t="str">
        <f t="shared" si="14"/>
        <v>NO ES TITULAR</v>
      </c>
      <c r="T313" s="154" t="str">
        <f t="shared" si="15"/>
        <v>NO ES TITULAR</v>
      </c>
      <c r="U313" s="157"/>
      <c r="V313" s="155"/>
      <c r="W313" s="140"/>
    </row>
    <row r="314" spans="1:23" ht="15.75" customHeight="1">
      <c r="A314" s="148"/>
      <c r="B314" s="148"/>
      <c r="C314" s="158" t="e">
        <f>VLOOKUP(B314,MAESTRO!$D$4:$E$10,2,FALSE)</f>
        <v>#N/A</v>
      </c>
      <c r="D314" s="145" t="e">
        <f t="shared" si="18"/>
        <v>#N/A</v>
      </c>
      <c r="E314" s="160"/>
      <c r="F314" s="140"/>
      <c r="G314" s="141" t="e">
        <f>VLOOKUP(F314,MAESTRO!$G$4:$H$14,2,FALSE)</f>
        <v>#N/A</v>
      </c>
      <c r="H314" s="140"/>
      <c r="I314" s="140"/>
      <c r="J314" s="143"/>
      <c r="K314" s="163"/>
      <c r="L314" s="145">
        <f t="shared" ca="1" si="16"/>
        <v>126</v>
      </c>
      <c r="M314" s="166"/>
      <c r="N314" s="144"/>
      <c r="O314" s="145">
        <f t="shared" si="17"/>
        <v>0</v>
      </c>
      <c r="P314" s="168" t="e">
        <f>IF(N314="PRIMERA",
   VLOOKUP(O314,MAESTRO!M:O,2,FALSE),
   VLOOKUP(O314,MAESTRO!M:O,3,FALSE)
)</f>
        <v>#N/A</v>
      </c>
      <c r="Q314" s="148"/>
      <c r="R314" s="148" t="e">
        <f>VLOOKUP(Q314,MAESTRO!$P$5:$Q$8,2,FALSE)</f>
        <v>#N/A</v>
      </c>
      <c r="S314" s="149" t="str">
        <f t="shared" si="14"/>
        <v>NO ES TITULAR</v>
      </c>
      <c r="T314" s="154" t="str">
        <f t="shared" si="15"/>
        <v>NO ES TITULAR</v>
      </c>
      <c r="U314" s="157"/>
      <c r="V314" s="155"/>
      <c r="W314" s="140"/>
    </row>
    <row r="315" spans="1:23" ht="15.75" customHeight="1">
      <c r="A315" s="148"/>
      <c r="B315" s="148"/>
      <c r="C315" s="158" t="e">
        <f>VLOOKUP(B315,MAESTRO!$D$4:$E$10,2,FALSE)</f>
        <v>#N/A</v>
      </c>
      <c r="D315" s="145" t="e">
        <f t="shared" si="18"/>
        <v>#N/A</v>
      </c>
      <c r="E315" s="160"/>
      <c r="F315" s="140"/>
      <c r="G315" s="141" t="e">
        <f>VLOOKUP(F315,MAESTRO!$G$4:$H$14,2,FALSE)</f>
        <v>#N/A</v>
      </c>
      <c r="H315" s="140"/>
      <c r="I315" s="140"/>
      <c r="J315" s="143"/>
      <c r="K315" s="163"/>
      <c r="L315" s="145">
        <f t="shared" ca="1" si="16"/>
        <v>126</v>
      </c>
      <c r="M315" s="166"/>
      <c r="N315" s="144"/>
      <c r="O315" s="145">
        <f t="shared" si="17"/>
        <v>0</v>
      </c>
      <c r="P315" s="168" t="e">
        <f>IF(N315="PRIMERA",
   VLOOKUP(O315,MAESTRO!M:O,2,FALSE),
   VLOOKUP(O315,MAESTRO!M:O,3,FALSE)
)</f>
        <v>#N/A</v>
      </c>
      <c r="Q315" s="148"/>
      <c r="R315" s="148" t="e">
        <f>VLOOKUP(Q315,MAESTRO!$P$5:$Q$8,2,FALSE)</f>
        <v>#N/A</v>
      </c>
      <c r="S315" s="149" t="str">
        <f t="shared" si="14"/>
        <v>NO ES TITULAR</v>
      </c>
      <c r="T315" s="154" t="str">
        <f t="shared" si="15"/>
        <v>NO ES TITULAR</v>
      </c>
      <c r="U315" s="157"/>
      <c r="V315" s="155"/>
      <c r="W315" s="140"/>
    </row>
    <row r="316" spans="1:23" ht="15.75" customHeight="1">
      <c r="A316" s="148"/>
      <c r="B316" s="148"/>
      <c r="C316" s="158" t="e">
        <f>VLOOKUP(B316,MAESTRO!$D$4:$E$10,2,FALSE)</f>
        <v>#N/A</v>
      </c>
      <c r="D316" s="145" t="e">
        <f t="shared" si="18"/>
        <v>#N/A</v>
      </c>
      <c r="E316" s="160"/>
      <c r="F316" s="140"/>
      <c r="G316" s="141" t="e">
        <f>VLOOKUP(F316,MAESTRO!$G$4:$H$14,2,FALSE)</f>
        <v>#N/A</v>
      </c>
      <c r="H316" s="140"/>
      <c r="I316" s="140"/>
      <c r="J316" s="143"/>
      <c r="K316" s="163"/>
      <c r="L316" s="145">
        <f t="shared" ca="1" si="16"/>
        <v>126</v>
      </c>
      <c r="M316" s="166"/>
      <c r="N316" s="144"/>
      <c r="O316" s="145">
        <f t="shared" si="17"/>
        <v>0</v>
      </c>
      <c r="P316" s="168" t="e">
        <f>IF(N316="PRIMERA",
   VLOOKUP(O316,MAESTRO!M:O,2,FALSE),
   VLOOKUP(O316,MAESTRO!M:O,3,FALSE)
)</f>
        <v>#N/A</v>
      </c>
      <c r="Q316" s="148"/>
      <c r="R316" s="148" t="e">
        <f>VLOOKUP(Q316,MAESTRO!$P$5:$Q$8,2,FALSE)</f>
        <v>#N/A</v>
      </c>
      <c r="S316" s="149" t="str">
        <f t="shared" si="14"/>
        <v>NO ES TITULAR</v>
      </c>
      <c r="T316" s="154" t="str">
        <f t="shared" si="15"/>
        <v>NO ES TITULAR</v>
      </c>
      <c r="U316" s="157"/>
      <c r="V316" s="155"/>
      <c r="W316" s="140"/>
    </row>
    <row r="317" spans="1:23" ht="15.75" customHeight="1">
      <c r="A317" s="148"/>
      <c r="B317" s="148"/>
      <c r="C317" s="158" t="e">
        <f>VLOOKUP(B317,MAESTRO!$D$4:$E$10,2,FALSE)</f>
        <v>#N/A</v>
      </c>
      <c r="D317" s="145" t="e">
        <f t="shared" si="18"/>
        <v>#N/A</v>
      </c>
      <c r="E317" s="160"/>
      <c r="F317" s="140"/>
      <c r="G317" s="141" t="e">
        <f>VLOOKUP(F317,MAESTRO!$G$4:$H$14,2,FALSE)</f>
        <v>#N/A</v>
      </c>
      <c r="H317" s="140"/>
      <c r="I317" s="140"/>
      <c r="J317" s="143"/>
      <c r="K317" s="163"/>
      <c r="L317" s="145">
        <f t="shared" ca="1" si="16"/>
        <v>126</v>
      </c>
      <c r="M317" s="166"/>
      <c r="N317" s="144"/>
      <c r="O317" s="145">
        <f t="shared" si="17"/>
        <v>0</v>
      </c>
      <c r="P317" s="168" t="e">
        <f>IF(N317="PRIMERA",
   VLOOKUP(O317,MAESTRO!M:O,2,FALSE),
   VLOOKUP(O317,MAESTRO!M:O,3,FALSE)
)</f>
        <v>#N/A</v>
      </c>
      <c r="Q317" s="148"/>
      <c r="R317" s="148" t="e">
        <f>VLOOKUP(Q317,MAESTRO!$P$5:$Q$8,2,FALSE)</f>
        <v>#N/A</v>
      </c>
      <c r="S317" s="149" t="str">
        <f t="shared" si="14"/>
        <v>NO ES TITULAR</v>
      </c>
      <c r="T317" s="154" t="str">
        <f t="shared" si="15"/>
        <v>NO ES TITULAR</v>
      </c>
      <c r="U317" s="157"/>
      <c r="V317" s="155"/>
      <c r="W317" s="140"/>
    </row>
    <row r="318" spans="1:23" ht="15.75" customHeight="1">
      <c r="A318" s="148"/>
      <c r="B318" s="148"/>
      <c r="C318" s="158" t="e">
        <f>VLOOKUP(B318,MAESTRO!$D$4:$E$10,2,FALSE)</f>
        <v>#N/A</v>
      </c>
      <c r="D318" s="145" t="e">
        <f t="shared" si="18"/>
        <v>#N/A</v>
      </c>
      <c r="E318" s="160"/>
      <c r="F318" s="140"/>
      <c r="G318" s="141" t="e">
        <f>VLOOKUP(F318,MAESTRO!$G$4:$H$14,2,FALSE)</f>
        <v>#N/A</v>
      </c>
      <c r="H318" s="140"/>
      <c r="I318" s="140"/>
      <c r="J318" s="143"/>
      <c r="K318" s="163"/>
      <c r="L318" s="145">
        <f t="shared" ca="1" si="16"/>
        <v>126</v>
      </c>
      <c r="M318" s="166"/>
      <c r="N318" s="144"/>
      <c r="O318" s="145">
        <f t="shared" si="17"/>
        <v>0</v>
      </c>
      <c r="P318" s="168" t="e">
        <f>IF(N318="PRIMERA",
   VLOOKUP(O318,MAESTRO!M:O,2,FALSE),
   VLOOKUP(O318,MAESTRO!M:O,3,FALSE)
)</f>
        <v>#N/A</v>
      </c>
      <c r="Q318" s="148"/>
      <c r="R318" s="148" t="e">
        <f>VLOOKUP(Q318,MAESTRO!$P$5:$Q$8,2,FALSE)</f>
        <v>#N/A</v>
      </c>
      <c r="S318" s="149" t="str">
        <f t="shared" si="14"/>
        <v>NO ES TITULAR</v>
      </c>
      <c r="T318" s="154" t="str">
        <f t="shared" si="15"/>
        <v>NO ES TITULAR</v>
      </c>
      <c r="U318" s="157"/>
      <c r="V318" s="155"/>
      <c r="W318" s="140"/>
    </row>
    <row r="319" spans="1:23" ht="15.75" customHeight="1">
      <c r="A319" s="148"/>
      <c r="B319" s="148"/>
      <c r="C319" s="158" t="e">
        <f>VLOOKUP(B319,MAESTRO!$D$4:$E$10,2,FALSE)</f>
        <v>#N/A</v>
      </c>
      <c r="D319" s="145" t="e">
        <f t="shared" si="18"/>
        <v>#N/A</v>
      </c>
      <c r="E319" s="160"/>
      <c r="F319" s="140"/>
      <c r="G319" s="141" t="e">
        <f>VLOOKUP(F319,MAESTRO!$G$4:$H$14,2,FALSE)</f>
        <v>#N/A</v>
      </c>
      <c r="H319" s="140"/>
      <c r="I319" s="140"/>
      <c r="J319" s="143"/>
      <c r="K319" s="163"/>
      <c r="L319" s="145">
        <f t="shared" ca="1" si="16"/>
        <v>126</v>
      </c>
      <c r="M319" s="166"/>
      <c r="N319" s="144"/>
      <c r="O319" s="145">
        <f t="shared" si="17"/>
        <v>0</v>
      </c>
      <c r="P319" s="168" t="e">
        <f>IF(N319="PRIMERA",
   VLOOKUP(O319,MAESTRO!M:O,2,FALSE),
   VLOOKUP(O319,MAESTRO!M:O,3,FALSE)
)</f>
        <v>#N/A</v>
      </c>
      <c r="Q319" s="148"/>
      <c r="R319" s="148" t="e">
        <f>VLOOKUP(Q319,MAESTRO!$P$5:$Q$8,2,FALSE)</f>
        <v>#N/A</v>
      </c>
      <c r="S319" s="149" t="str">
        <f t="shared" si="14"/>
        <v>NO ES TITULAR</v>
      </c>
      <c r="T319" s="154" t="str">
        <f t="shared" si="15"/>
        <v>NO ES TITULAR</v>
      </c>
      <c r="U319" s="157"/>
      <c r="V319" s="155"/>
      <c r="W319" s="140"/>
    </row>
    <row r="320" spans="1:23" ht="15.75" customHeight="1">
      <c r="A320" s="148"/>
      <c r="B320" s="148"/>
      <c r="C320" s="158" t="e">
        <f>VLOOKUP(B320,MAESTRO!$D$4:$E$10,2,FALSE)</f>
        <v>#N/A</v>
      </c>
      <c r="D320" s="145" t="e">
        <f t="shared" si="18"/>
        <v>#N/A</v>
      </c>
      <c r="E320" s="160"/>
      <c r="F320" s="140"/>
      <c r="G320" s="141" t="e">
        <f>VLOOKUP(F320,MAESTRO!$G$4:$H$14,2,FALSE)</f>
        <v>#N/A</v>
      </c>
      <c r="H320" s="140"/>
      <c r="I320" s="140"/>
      <c r="J320" s="143"/>
      <c r="K320" s="163"/>
      <c r="L320" s="145">
        <f t="shared" ca="1" si="16"/>
        <v>126</v>
      </c>
      <c r="M320" s="166"/>
      <c r="N320" s="144"/>
      <c r="O320" s="145">
        <f t="shared" si="17"/>
        <v>0</v>
      </c>
      <c r="P320" s="168" t="e">
        <f>IF(N320="PRIMERA",
   VLOOKUP(O320,MAESTRO!M:O,2,FALSE),
   VLOOKUP(O320,MAESTRO!M:O,3,FALSE)
)</f>
        <v>#N/A</v>
      </c>
      <c r="Q320" s="148"/>
      <c r="R320" s="148" t="e">
        <f>VLOOKUP(Q320,MAESTRO!$P$5:$Q$8,2,FALSE)</f>
        <v>#N/A</v>
      </c>
      <c r="S320" s="149" t="str">
        <f t="shared" si="14"/>
        <v>NO ES TITULAR</v>
      </c>
      <c r="T320" s="154" t="str">
        <f t="shared" si="15"/>
        <v>NO ES TITULAR</v>
      </c>
      <c r="U320" s="157"/>
      <c r="V320" s="155"/>
      <c r="W320" s="140"/>
    </row>
    <row r="321" spans="1:23" ht="15.75" customHeight="1">
      <c r="A321" s="148"/>
      <c r="B321" s="148"/>
      <c r="C321" s="158" t="e">
        <f>VLOOKUP(B321,MAESTRO!$D$4:$E$10,2,FALSE)</f>
        <v>#N/A</v>
      </c>
      <c r="D321" s="145" t="e">
        <f t="shared" si="18"/>
        <v>#N/A</v>
      </c>
      <c r="E321" s="160"/>
      <c r="F321" s="140"/>
      <c r="G321" s="141" t="e">
        <f>VLOOKUP(F321,MAESTRO!$G$4:$H$14,2,FALSE)</f>
        <v>#N/A</v>
      </c>
      <c r="H321" s="140"/>
      <c r="I321" s="140"/>
      <c r="J321" s="143"/>
      <c r="K321" s="163"/>
      <c r="L321" s="145">
        <f t="shared" ca="1" si="16"/>
        <v>126</v>
      </c>
      <c r="M321" s="166"/>
      <c r="N321" s="144"/>
      <c r="O321" s="145">
        <f t="shared" si="17"/>
        <v>0</v>
      </c>
      <c r="P321" s="168" t="e">
        <f>IF(N321="PRIMERA",
   VLOOKUP(O321,MAESTRO!M:O,2,FALSE),
   VLOOKUP(O321,MAESTRO!M:O,3,FALSE)
)</f>
        <v>#N/A</v>
      </c>
      <c r="Q321" s="148"/>
      <c r="R321" s="148" t="e">
        <f>VLOOKUP(Q321,MAESTRO!$P$5:$Q$8,2,FALSE)</f>
        <v>#N/A</v>
      </c>
      <c r="S321" s="149" t="str">
        <f t="shared" si="14"/>
        <v>NO ES TITULAR</v>
      </c>
      <c r="T321" s="154" t="str">
        <f t="shared" si="15"/>
        <v>NO ES TITULAR</v>
      </c>
      <c r="U321" s="157"/>
      <c r="V321" s="155"/>
      <c r="W321" s="140"/>
    </row>
    <row r="322" spans="1:23" ht="15.75" customHeight="1">
      <c r="A322" s="148"/>
      <c r="B322" s="148"/>
      <c r="C322" s="158" t="e">
        <f>VLOOKUP(B322,MAESTRO!$D$4:$E$10,2,FALSE)</f>
        <v>#N/A</v>
      </c>
      <c r="D322" s="145" t="e">
        <f t="shared" si="18"/>
        <v>#N/A</v>
      </c>
      <c r="E322" s="160"/>
      <c r="F322" s="140"/>
      <c r="G322" s="141" t="e">
        <f>VLOOKUP(F322,MAESTRO!$G$4:$H$14,2,FALSE)</f>
        <v>#N/A</v>
      </c>
      <c r="H322" s="140"/>
      <c r="I322" s="140"/>
      <c r="J322" s="143"/>
      <c r="K322" s="163"/>
      <c r="L322" s="145">
        <f t="shared" ref="L322:L385" ca="1" si="19">DATEDIF(K322,TODAY(),"Y")</f>
        <v>126</v>
      </c>
      <c r="M322" s="166"/>
      <c r="N322" s="144"/>
      <c r="O322" s="145">
        <f t="shared" si="17"/>
        <v>0</v>
      </c>
      <c r="P322" s="168" t="e">
        <f>IF(N322="PRIMERA",
   VLOOKUP(O322,MAESTRO!M:O,2,FALSE),
   VLOOKUP(O322,MAESTRO!M:O,3,FALSE)
)</f>
        <v>#N/A</v>
      </c>
      <c r="Q322" s="148"/>
      <c r="R322" s="148" t="e">
        <f>VLOOKUP(Q322,MAESTRO!$P$5:$Q$8,2,FALSE)</f>
        <v>#N/A</v>
      </c>
      <c r="S322" s="149" t="str">
        <f t="shared" si="14"/>
        <v>NO ES TITULAR</v>
      </c>
      <c r="T322" s="154" t="str">
        <f t="shared" si="15"/>
        <v>NO ES TITULAR</v>
      </c>
      <c r="U322" s="157"/>
      <c r="V322" s="155"/>
      <c r="W322" s="140"/>
    </row>
    <row r="323" spans="1:23" ht="15.75" customHeight="1">
      <c r="A323" s="148"/>
      <c r="B323" s="148"/>
      <c r="C323" s="158" t="e">
        <f>VLOOKUP(B323,MAESTRO!$D$4:$E$10,2,FALSE)</f>
        <v>#N/A</v>
      </c>
      <c r="D323" s="145" t="e">
        <f t="shared" si="18"/>
        <v>#N/A</v>
      </c>
      <c r="E323" s="160"/>
      <c r="F323" s="140"/>
      <c r="G323" s="141" t="e">
        <f>VLOOKUP(F323,MAESTRO!$G$4:$H$14,2,FALSE)</f>
        <v>#N/A</v>
      </c>
      <c r="H323" s="140"/>
      <c r="I323" s="140"/>
      <c r="J323" s="143"/>
      <c r="K323" s="163"/>
      <c r="L323" s="145">
        <f t="shared" ca="1" si="19"/>
        <v>126</v>
      </c>
      <c r="M323" s="166"/>
      <c r="N323" s="144"/>
      <c r="O323" s="145">
        <f t="shared" ref="O323:O386" si="20">+B323</f>
        <v>0</v>
      </c>
      <c r="P323" s="168" t="e">
        <f>IF(N323="PRIMERA",
   VLOOKUP(O323,MAESTRO!M:O,2,FALSE),
   VLOOKUP(O323,MAESTRO!M:O,3,FALSE)
)</f>
        <v>#N/A</v>
      </c>
      <c r="Q323" s="148"/>
      <c r="R323" s="148" t="e">
        <f>VLOOKUP(Q323,MAESTRO!$P$5:$Q$8,2,FALSE)</f>
        <v>#N/A</v>
      </c>
      <c r="S323" s="149" t="str">
        <f t="shared" si="14"/>
        <v>NO ES TITULAR</v>
      </c>
      <c r="T323" s="154" t="str">
        <f t="shared" si="15"/>
        <v>NO ES TITULAR</v>
      </c>
      <c r="U323" s="157"/>
      <c r="V323" s="155"/>
      <c r="W323" s="140"/>
    </row>
    <row r="324" spans="1:23" ht="15.75" customHeight="1">
      <c r="A324" s="148"/>
      <c r="B324" s="148"/>
      <c r="C324" s="158" t="e">
        <f>VLOOKUP(B324,MAESTRO!$D$4:$E$10,2,FALSE)</f>
        <v>#N/A</v>
      </c>
      <c r="D324" s="145" t="e">
        <f t="shared" ref="D324:D387" si="21">IF(C324&gt;0,1+D323)</f>
        <v>#N/A</v>
      </c>
      <c r="E324" s="160"/>
      <c r="F324" s="140"/>
      <c r="G324" s="141" t="e">
        <f>VLOOKUP(F324,MAESTRO!$G$4:$H$14,2,FALSE)</f>
        <v>#N/A</v>
      </c>
      <c r="H324" s="140"/>
      <c r="I324" s="140"/>
      <c r="J324" s="143"/>
      <c r="K324" s="163"/>
      <c r="L324" s="145">
        <f t="shared" ca="1" si="19"/>
        <v>126</v>
      </c>
      <c r="M324" s="166"/>
      <c r="N324" s="144"/>
      <c r="O324" s="145">
        <f t="shared" si="20"/>
        <v>0</v>
      </c>
      <c r="P324" s="168" t="e">
        <f>IF(N324="PRIMERA",
   VLOOKUP(O324,MAESTRO!M:O,2,FALSE),
   VLOOKUP(O324,MAESTRO!M:O,3,FALSE)
)</f>
        <v>#N/A</v>
      </c>
      <c r="Q324" s="148"/>
      <c r="R324" s="148" t="e">
        <f>VLOOKUP(Q324,MAESTRO!$P$5:$Q$8,2,FALSE)</f>
        <v>#N/A</v>
      </c>
      <c r="S324" s="149" t="str">
        <f t="shared" si="14"/>
        <v>NO ES TITULAR</v>
      </c>
      <c r="T324" s="154" t="str">
        <f t="shared" si="15"/>
        <v>NO ES TITULAR</v>
      </c>
      <c r="U324" s="157"/>
      <c r="V324" s="155"/>
      <c r="W324" s="140"/>
    </row>
    <row r="325" spans="1:23" ht="15.75" customHeight="1">
      <c r="A325" s="148"/>
      <c r="B325" s="148"/>
      <c r="C325" s="158" t="e">
        <f>VLOOKUP(B325,MAESTRO!$D$4:$E$10,2,FALSE)</f>
        <v>#N/A</v>
      </c>
      <c r="D325" s="145" t="e">
        <f t="shared" si="21"/>
        <v>#N/A</v>
      </c>
      <c r="E325" s="160"/>
      <c r="F325" s="140"/>
      <c r="G325" s="141" t="e">
        <f>VLOOKUP(F325,MAESTRO!$G$4:$H$14,2,FALSE)</f>
        <v>#N/A</v>
      </c>
      <c r="H325" s="140"/>
      <c r="I325" s="140"/>
      <c r="J325" s="143"/>
      <c r="K325" s="163"/>
      <c r="L325" s="145">
        <f t="shared" ca="1" si="19"/>
        <v>126</v>
      </c>
      <c r="M325" s="166"/>
      <c r="N325" s="144"/>
      <c r="O325" s="145">
        <f t="shared" si="20"/>
        <v>0</v>
      </c>
      <c r="P325" s="168" t="e">
        <f>IF(N325="PRIMERA",
   VLOOKUP(O325,MAESTRO!M:O,2,FALSE),
   VLOOKUP(O325,MAESTRO!M:O,3,FALSE)
)</f>
        <v>#N/A</v>
      </c>
      <c r="Q325" s="148"/>
      <c r="R325" s="148" t="e">
        <f>VLOOKUP(Q325,MAESTRO!$P$5:$Q$8,2,FALSE)</f>
        <v>#N/A</v>
      </c>
      <c r="S325" s="149" t="str">
        <f t="shared" si="14"/>
        <v>NO ES TITULAR</v>
      </c>
      <c r="T325" s="154" t="str">
        <f t="shared" si="15"/>
        <v>NO ES TITULAR</v>
      </c>
      <c r="U325" s="157"/>
      <c r="V325" s="155"/>
      <c r="W325" s="140"/>
    </row>
    <row r="326" spans="1:23" ht="15.75" customHeight="1">
      <c r="A326" s="148"/>
      <c r="B326" s="148"/>
      <c r="C326" s="158" t="e">
        <f>VLOOKUP(B326,MAESTRO!$D$4:$E$10,2,FALSE)</f>
        <v>#N/A</v>
      </c>
      <c r="D326" s="145" t="e">
        <f t="shared" si="21"/>
        <v>#N/A</v>
      </c>
      <c r="E326" s="160"/>
      <c r="F326" s="140"/>
      <c r="G326" s="141" t="e">
        <f>VLOOKUP(F326,MAESTRO!$G$4:$H$14,2,FALSE)</f>
        <v>#N/A</v>
      </c>
      <c r="H326" s="140"/>
      <c r="I326" s="140"/>
      <c r="J326" s="143"/>
      <c r="K326" s="163"/>
      <c r="L326" s="145">
        <f t="shared" ca="1" si="19"/>
        <v>126</v>
      </c>
      <c r="M326" s="166"/>
      <c r="N326" s="144"/>
      <c r="O326" s="145">
        <f t="shared" si="20"/>
        <v>0</v>
      </c>
      <c r="P326" s="168" t="e">
        <f>IF(N326="PRIMERA",
   VLOOKUP(O326,MAESTRO!M:O,2,FALSE),
   VLOOKUP(O326,MAESTRO!M:O,3,FALSE)
)</f>
        <v>#N/A</v>
      </c>
      <c r="Q326" s="148"/>
      <c r="R326" s="148" t="e">
        <f>VLOOKUP(Q326,MAESTRO!$P$5:$Q$8,2,FALSE)</f>
        <v>#N/A</v>
      </c>
      <c r="S326" s="149" t="str">
        <f t="shared" si="14"/>
        <v>NO ES TITULAR</v>
      </c>
      <c r="T326" s="154" t="str">
        <f t="shared" si="15"/>
        <v>NO ES TITULAR</v>
      </c>
      <c r="U326" s="157"/>
      <c r="V326" s="155"/>
      <c r="W326" s="140"/>
    </row>
    <row r="327" spans="1:23" ht="15.75" customHeight="1">
      <c r="A327" s="148"/>
      <c r="B327" s="148"/>
      <c r="C327" s="158" t="e">
        <f>VLOOKUP(B327,MAESTRO!$D$4:$E$10,2,FALSE)</f>
        <v>#N/A</v>
      </c>
      <c r="D327" s="145" t="e">
        <f t="shared" si="21"/>
        <v>#N/A</v>
      </c>
      <c r="E327" s="160"/>
      <c r="F327" s="140"/>
      <c r="G327" s="141" t="e">
        <f>VLOOKUP(F327,MAESTRO!$G$4:$H$14,2,FALSE)</f>
        <v>#N/A</v>
      </c>
      <c r="H327" s="140"/>
      <c r="I327" s="140"/>
      <c r="J327" s="143"/>
      <c r="K327" s="163"/>
      <c r="L327" s="145">
        <f t="shared" ca="1" si="19"/>
        <v>126</v>
      </c>
      <c r="M327" s="166"/>
      <c r="N327" s="144"/>
      <c r="O327" s="145">
        <f t="shared" si="20"/>
        <v>0</v>
      </c>
      <c r="P327" s="168" t="e">
        <f>IF(N327="PRIMERA",
   VLOOKUP(O327,MAESTRO!M:O,2,FALSE),
   VLOOKUP(O327,MAESTRO!M:O,3,FALSE)
)</f>
        <v>#N/A</v>
      </c>
      <c r="Q327" s="148"/>
      <c r="R327" s="148" t="e">
        <f>VLOOKUP(Q327,MAESTRO!$P$5:$Q$8,2,FALSE)</f>
        <v>#N/A</v>
      </c>
      <c r="S327" s="149" t="str">
        <f t="shared" si="14"/>
        <v>NO ES TITULAR</v>
      </c>
      <c r="T327" s="154" t="str">
        <f t="shared" si="15"/>
        <v>NO ES TITULAR</v>
      </c>
      <c r="U327" s="157"/>
      <c r="V327" s="155"/>
      <c r="W327" s="140"/>
    </row>
    <row r="328" spans="1:23" ht="15.75" customHeight="1">
      <c r="A328" s="148"/>
      <c r="B328" s="148"/>
      <c r="C328" s="158" t="e">
        <f>VLOOKUP(B328,MAESTRO!$D$4:$E$10,2,FALSE)</f>
        <v>#N/A</v>
      </c>
      <c r="D328" s="145" t="e">
        <f t="shared" si="21"/>
        <v>#N/A</v>
      </c>
      <c r="E328" s="160"/>
      <c r="F328" s="140"/>
      <c r="G328" s="141" t="e">
        <f>VLOOKUP(F328,MAESTRO!$G$4:$H$14,2,FALSE)</f>
        <v>#N/A</v>
      </c>
      <c r="H328" s="140"/>
      <c r="I328" s="140"/>
      <c r="J328" s="143"/>
      <c r="K328" s="163"/>
      <c r="L328" s="145">
        <f t="shared" ca="1" si="19"/>
        <v>126</v>
      </c>
      <c r="M328" s="166"/>
      <c r="N328" s="144"/>
      <c r="O328" s="145">
        <f t="shared" si="20"/>
        <v>0</v>
      </c>
      <c r="P328" s="168" t="e">
        <f>IF(N328="PRIMERA",
   VLOOKUP(O328,MAESTRO!M:O,2,FALSE),
   VLOOKUP(O328,MAESTRO!M:O,3,FALSE)
)</f>
        <v>#N/A</v>
      </c>
      <c r="Q328" s="148"/>
      <c r="R328" s="148" t="e">
        <f>VLOOKUP(Q328,MAESTRO!$P$5:$Q$8,2,FALSE)</f>
        <v>#N/A</v>
      </c>
      <c r="S328" s="149" t="str">
        <f t="shared" si="14"/>
        <v>NO ES TITULAR</v>
      </c>
      <c r="T328" s="154" t="str">
        <f t="shared" si="15"/>
        <v>NO ES TITULAR</v>
      </c>
      <c r="U328" s="157"/>
      <c r="V328" s="155"/>
      <c r="W328" s="140"/>
    </row>
    <row r="329" spans="1:23" ht="15.75" customHeight="1">
      <c r="A329" s="148"/>
      <c r="B329" s="148"/>
      <c r="C329" s="158" t="e">
        <f>VLOOKUP(B329,MAESTRO!$D$4:$E$10,2,FALSE)</f>
        <v>#N/A</v>
      </c>
      <c r="D329" s="145" t="e">
        <f t="shared" si="21"/>
        <v>#N/A</v>
      </c>
      <c r="E329" s="160"/>
      <c r="F329" s="140"/>
      <c r="G329" s="141" t="e">
        <f>VLOOKUP(F329,MAESTRO!$G$4:$H$14,2,FALSE)</f>
        <v>#N/A</v>
      </c>
      <c r="H329" s="140"/>
      <c r="I329" s="140"/>
      <c r="J329" s="143"/>
      <c r="K329" s="163"/>
      <c r="L329" s="145">
        <f t="shared" ca="1" si="19"/>
        <v>126</v>
      </c>
      <c r="M329" s="166"/>
      <c r="N329" s="144"/>
      <c r="O329" s="145">
        <f t="shared" si="20"/>
        <v>0</v>
      </c>
      <c r="P329" s="168" t="e">
        <f>IF(N329="PRIMERA",
   VLOOKUP(O329,MAESTRO!M:O,2,FALSE),
   VLOOKUP(O329,MAESTRO!M:O,3,FALSE)
)</f>
        <v>#N/A</v>
      </c>
      <c r="Q329" s="148"/>
      <c r="R329" s="148" t="e">
        <f>VLOOKUP(Q329,MAESTRO!$P$5:$Q$8,2,FALSE)</f>
        <v>#N/A</v>
      </c>
      <c r="S329" s="149" t="str">
        <f t="shared" si="14"/>
        <v>NO ES TITULAR</v>
      </c>
      <c r="T329" s="154" t="str">
        <f t="shared" si="15"/>
        <v>NO ES TITULAR</v>
      </c>
      <c r="U329" s="157"/>
      <c r="V329" s="155"/>
      <c r="W329" s="140"/>
    </row>
    <row r="330" spans="1:23" ht="15.75" customHeight="1">
      <c r="A330" s="148"/>
      <c r="B330" s="148"/>
      <c r="C330" s="158" t="e">
        <f>VLOOKUP(B330,MAESTRO!$D$4:$E$10,2,FALSE)</f>
        <v>#N/A</v>
      </c>
      <c r="D330" s="145" t="e">
        <f t="shared" si="21"/>
        <v>#N/A</v>
      </c>
      <c r="E330" s="160"/>
      <c r="F330" s="140"/>
      <c r="G330" s="141" t="e">
        <f>VLOOKUP(F330,MAESTRO!$G$4:$H$14,2,FALSE)</f>
        <v>#N/A</v>
      </c>
      <c r="H330" s="140"/>
      <c r="I330" s="140"/>
      <c r="J330" s="143"/>
      <c r="K330" s="163"/>
      <c r="L330" s="145">
        <f t="shared" ca="1" si="19"/>
        <v>126</v>
      </c>
      <c r="M330" s="166"/>
      <c r="N330" s="144"/>
      <c r="O330" s="145">
        <f t="shared" si="20"/>
        <v>0</v>
      </c>
      <c r="P330" s="168" t="e">
        <f>IF(N330="PRIMERA",
   VLOOKUP(O330,MAESTRO!M:O,2,FALSE),
   VLOOKUP(O330,MAESTRO!M:O,3,FALSE)
)</f>
        <v>#N/A</v>
      </c>
      <c r="Q330" s="148"/>
      <c r="R330" s="148" t="e">
        <f>VLOOKUP(Q330,MAESTRO!$P$5:$Q$8,2,FALSE)</f>
        <v>#N/A</v>
      </c>
      <c r="S330" s="149" t="str">
        <f t="shared" si="14"/>
        <v>NO ES TITULAR</v>
      </c>
      <c r="T330" s="154" t="str">
        <f t="shared" si="15"/>
        <v>NO ES TITULAR</v>
      </c>
      <c r="U330" s="157"/>
      <c r="V330" s="155"/>
      <c r="W330" s="140"/>
    </row>
    <row r="331" spans="1:23" ht="15.75" customHeight="1">
      <c r="A331" s="148"/>
      <c r="B331" s="148"/>
      <c r="C331" s="158" t="e">
        <f>VLOOKUP(B331,MAESTRO!$D$4:$E$10,2,FALSE)</f>
        <v>#N/A</v>
      </c>
      <c r="D331" s="145" t="e">
        <f t="shared" si="21"/>
        <v>#N/A</v>
      </c>
      <c r="E331" s="160"/>
      <c r="F331" s="140"/>
      <c r="G331" s="141" t="e">
        <f>VLOOKUP(F331,MAESTRO!$G$4:$H$14,2,FALSE)</f>
        <v>#N/A</v>
      </c>
      <c r="H331" s="140"/>
      <c r="I331" s="140"/>
      <c r="J331" s="143"/>
      <c r="K331" s="163"/>
      <c r="L331" s="145">
        <f t="shared" ca="1" si="19"/>
        <v>126</v>
      </c>
      <c r="M331" s="166"/>
      <c r="N331" s="144"/>
      <c r="O331" s="145">
        <f t="shared" si="20"/>
        <v>0</v>
      </c>
      <c r="P331" s="168" t="e">
        <f>IF(N331="PRIMERA",
   VLOOKUP(O331,MAESTRO!M:O,2,FALSE),
   VLOOKUP(O331,MAESTRO!M:O,3,FALSE)
)</f>
        <v>#N/A</v>
      </c>
      <c r="Q331" s="148"/>
      <c r="R331" s="148" t="e">
        <f>VLOOKUP(Q331,MAESTRO!$P$5:$Q$8,2,FALSE)</f>
        <v>#N/A</v>
      </c>
      <c r="S331" s="149" t="str">
        <f t="shared" si="14"/>
        <v>NO ES TITULAR</v>
      </c>
      <c r="T331" s="154" t="str">
        <f t="shared" si="15"/>
        <v>NO ES TITULAR</v>
      </c>
      <c r="U331" s="157"/>
      <c r="V331" s="155"/>
      <c r="W331" s="140"/>
    </row>
    <row r="332" spans="1:23" ht="15.75" customHeight="1">
      <c r="A332" s="148"/>
      <c r="B332" s="148"/>
      <c r="C332" s="158" t="e">
        <f>VLOOKUP(B332,MAESTRO!$D$4:$E$10,2,FALSE)</f>
        <v>#N/A</v>
      </c>
      <c r="D332" s="145" t="e">
        <f t="shared" si="21"/>
        <v>#N/A</v>
      </c>
      <c r="E332" s="160"/>
      <c r="F332" s="140"/>
      <c r="G332" s="141" t="e">
        <f>VLOOKUP(F332,MAESTRO!$G$4:$H$14,2,FALSE)</f>
        <v>#N/A</v>
      </c>
      <c r="H332" s="140"/>
      <c r="I332" s="140"/>
      <c r="J332" s="143"/>
      <c r="K332" s="163"/>
      <c r="L332" s="145">
        <f t="shared" ca="1" si="19"/>
        <v>126</v>
      </c>
      <c r="M332" s="166"/>
      <c r="N332" s="144"/>
      <c r="O332" s="145">
        <f t="shared" si="20"/>
        <v>0</v>
      </c>
      <c r="P332" s="168" t="e">
        <f>IF(N332="PRIMERA",
   VLOOKUP(O332,MAESTRO!M:O,2,FALSE),
   VLOOKUP(O332,MAESTRO!M:O,3,FALSE)
)</f>
        <v>#N/A</v>
      </c>
      <c r="Q332" s="148"/>
      <c r="R332" s="148" t="e">
        <f>VLOOKUP(Q332,MAESTRO!$P$5:$Q$8,2,FALSE)</f>
        <v>#N/A</v>
      </c>
      <c r="S332" s="149" t="str">
        <f t="shared" si="14"/>
        <v>NO ES TITULAR</v>
      </c>
      <c r="T332" s="154" t="str">
        <f t="shared" si="15"/>
        <v>NO ES TITULAR</v>
      </c>
      <c r="U332" s="157"/>
      <c r="V332" s="155"/>
      <c r="W332" s="140"/>
    </row>
    <row r="333" spans="1:23" ht="15.75" customHeight="1">
      <c r="A333" s="148"/>
      <c r="B333" s="148"/>
      <c r="C333" s="158" t="e">
        <f>VLOOKUP(B333,MAESTRO!$D$4:$E$10,2,FALSE)</f>
        <v>#N/A</v>
      </c>
      <c r="D333" s="145" t="e">
        <f t="shared" si="21"/>
        <v>#N/A</v>
      </c>
      <c r="E333" s="160"/>
      <c r="F333" s="140"/>
      <c r="G333" s="141" t="e">
        <f>VLOOKUP(F333,MAESTRO!$G$4:$H$14,2,FALSE)</f>
        <v>#N/A</v>
      </c>
      <c r="H333" s="140"/>
      <c r="I333" s="140"/>
      <c r="J333" s="143"/>
      <c r="K333" s="163"/>
      <c r="L333" s="145">
        <f t="shared" ca="1" si="19"/>
        <v>126</v>
      </c>
      <c r="M333" s="166"/>
      <c r="N333" s="144"/>
      <c r="O333" s="145">
        <f t="shared" si="20"/>
        <v>0</v>
      </c>
      <c r="P333" s="168" t="e">
        <f>IF(N333="PRIMERA",
   VLOOKUP(O333,MAESTRO!M:O,2,FALSE),
   VLOOKUP(O333,MAESTRO!M:O,3,FALSE)
)</f>
        <v>#N/A</v>
      </c>
      <c r="Q333" s="148"/>
      <c r="R333" s="148" t="e">
        <f>VLOOKUP(Q333,MAESTRO!$P$5:$Q$8,2,FALSE)</f>
        <v>#N/A</v>
      </c>
      <c r="S333" s="149" t="str">
        <f t="shared" si="14"/>
        <v>NO ES TITULAR</v>
      </c>
      <c r="T333" s="154" t="str">
        <f t="shared" si="15"/>
        <v>NO ES TITULAR</v>
      </c>
      <c r="U333" s="157"/>
      <c r="V333" s="155"/>
      <c r="W333" s="140"/>
    </row>
    <row r="334" spans="1:23" ht="15.75" customHeight="1">
      <c r="A334" s="148"/>
      <c r="B334" s="148"/>
      <c r="C334" s="158" t="e">
        <f>VLOOKUP(B334,MAESTRO!$D$4:$E$10,2,FALSE)</f>
        <v>#N/A</v>
      </c>
      <c r="D334" s="145" t="e">
        <f t="shared" si="21"/>
        <v>#N/A</v>
      </c>
      <c r="E334" s="160"/>
      <c r="F334" s="140"/>
      <c r="G334" s="141" t="e">
        <f>VLOOKUP(F334,MAESTRO!$G$4:$H$14,2,FALSE)</f>
        <v>#N/A</v>
      </c>
      <c r="H334" s="140"/>
      <c r="I334" s="140"/>
      <c r="J334" s="143"/>
      <c r="K334" s="163"/>
      <c r="L334" s="145">
        <f t="shared" ca="1" si="19"/>
        <v>126</v>
      </c>
      <c r="M334" s="166"/>
      <c r="N334" s="144"/>
      <c r="O334" s="145">
        <f t="shared" si="20"/>
        <v>0</v>
      </c>
      <c r="P334" s="168" t="e">
        <f>IF(N334="PRIMERA",
   VLOOKUP(O334,MAESTRO!M:O,2,FALSE),
   VLOOKUP(O334,MAESTRO!M:O,3,FALSE)
)</f>
        <v>#N/A</v>
      </c>
      <c r="Q334" s="148"/>
      <c r="R334" s="148" t="e">
        <f>VLOOKUP(Q334,MAESTRO!$P$5:$Q$8,2,FALSE)</f>
        <v>#N/A</v>
      </c>
      <c r="S334" s="149" t="str">
        <f t="shared" si="14"/>
        <v>NO ES TITULAR</v>
      </c>
      <c r="T334" s="154" t="str">
        <f t="shared" si="15"/>
        <v>NO ES TITULAR</v>
      </c>
      <c r="U334" s="157"/>
      <c r="V334" s="155"/>
      <c r="W334" s="140"/>
    </row>
    <row r="335" spans="1:23" ht="15.75" customHeight="1">
      <c r="A335" s="148"/>
      <c r="B335" s="148"/>
      <c r="C335" s="158" t="e">
        <f>VLOOKUP(B335,MAESTRO!$D$4:$E$10,2,FALSE)</f>
        <v>#N/A</v>
      </c>
      <c r="D335" s="145" t="e">
        <f t="shared" si="21"/>
        <v>#N/A</v>
      </c>
      <c r="E335" s="160"/>
      <c r="F335" s="140"/>
      <c r="G335" s="141" t="e">
        <f>VLOOKUP(F335,MAESTRO!$G$4:$H$14,2,FALSE)</f>
        <v>#N/A</v>
      </c>
      <c r="H335" s="140"/>
      <c r="I335" s="140"/>
      <c r="J335" s="143"/>
      <c r="K335" s="163"/>
      <c r="L335" s="145">
        <f t="shared" ca="1" si="19"/>
        <v>126</v>
      </c>
      <c r="M335" s="166"/>
      <c r="N335" s="144"/>
      <c r="O335" s="145">
        <f t="shared" si="20"/>
        <v>0</v>
      </c>
      <c r="P335" s="168" t="e">
        <f>IF(N335="PRIMERA",
   VLOOKUP(O335,MAESTRO!M:O,2,FALSE),
   VLOOKUP(O335,MAESTRO!M:O,3,FALSE)
)</f>
        <v>#N/A</v>
      </c>
      <c r="Q335" s="148"/>
      <c r="R335" s="148" t="e">
        <f>VLOOKUP(Q335,MAESTRO!$P$5:$Q$8,2,FALSE)</f>
        <v>#N/A</v>
      </c>
      <c r="S335" s="149" t="str">
        <f t="shared" si="14"/>
        <v>NO ES TITULAR</v>
      </c>
      <c r="T335" s="154" t="str">
        <f t="shared" si="15"/>
        <v>NO ES TITULAR</v>
      </c>
      <c r="U335" s="157"/>
      <c r="V335" s="155"/>
      <c r="W335" s="140"/>
    </row>
    <row r="336" spans="1:23" ht="15.75" customHeight="1">
      <c r="A336" s="148"/>
      <c r="B336" s="148"/>
      <c r="C336" s="158" t="e">
        <f>VLOOKUP(B336,MAESTRO!$D$4:$E$10,2,FALSE)</f>
        <v>#N/A</v>
      </c>
      <c r="D336" s="145" t="e">
        <f t="shared" si="21"/>
        <v>#N/A</v>
      </c>
      <c r="E336" s="160"/>
      <c r="F336" s="140"/>
      <c r="G336" s="141" t="e">
        <f>VLOOKUP(F336,MAESTRO!$G$4:$H$14,2,FALSE)</f>
        <v>#N/A</v>
      </c>
      <c r="H336" s="140"/>
      <c r="I336" s="140"/>
      <c r="J336" s="143"/>
      <c r="K336" s="163"/>
      <c r="L336" s="145">
        <f t="shared" ca="1" si="19"/>
        <v>126</v>
      </c>
      <c r="M336" s="166"/>
      <c r="N336" s="144"/>
      <c r="O336" s="145">
        <f t="shared" si="20"/>
        <v>0</v>
      </c>
      <c r="P336" s="168" t="e">
        <f>IF(N336="PRIMERA",
   VLOOKUP(O336,MAESTRO!M:O,2,FALSE),
   VLOOKUP(O336,MAESTRO!M:O,3,FALSE)
)</f>
        <v>#N/A</v>
      </c>
      <c r="Q336" s="148"/>
      <c r="R336" s="148" t="e">
        <f>VLOOKUP(Q336,MAESTRO!$P$5:$Q$8,2,FALSE)</f>
        <v>#N/A</v>
      </c>
      <c r="S336" s="149" t="str">
        <f t="shared" si="14"/>
        <v>NO ES TITULAR</v>
      </c>
      <c r="T336" s="154" t="str">
        <f t="shared" si="15"/>
        <v>NO ES TITULAR</v>
      </c>
      <c r="U336" s="157"/>
      <c r="V336" s="155"/>
      <c r="W336" s="140"/>
    </row>
    <row r="337" spans="1:23" ht="15.75" customHeight="1">
      <c r="A337" s="148"/>
      <c r="B337" s="148"/>
      <c r="C337" s="158" t="e">
        <f>VLOOKUP(B337,MAESTRO!$D$4:$E$10,2,FALSE)</f>
        <v>#N/A</v>
      </c>
      <c r="D337" s="145" t="e">
        <f t="shared" si="21"/>
        <v>#N/A</v>
      </c>
      <c r="E337" s="160"/>
      <c r="F337" s="140"/>
      <c r="G337" s="141" t="e">
        <f>VLOOKUP(F337,MAESTRO!$G$4:$H$14,2,FALSE)</f>
        <v>#N/A</v>
      </c>
      <c r="H337" s="140"/>
      <c r="I337" s="140"/>
      <c r="J337" s="143"/>
      <c r="K337" s="163"/>
      <c r="L337" s="145">
        <f t="shared" ca="1" si="19"/>
        <v>126</v>
      </c>
      <c r="M337" s="166"/>
      <c r="N337" s="144"/>
      <c r="O337" s="145">
        <f t="shared" si="20"/>
        <v>0</v>
      </c>
      <c r="P337" s="168" t="e">
        <f>IF(N337="PRIMERA",
   VLOOKUP(O337,MAESTRO!M:O,2,FALSE),
   VLOOKUP(O337,MAESTRO!M:O,3,FALSE)
)</f>
        <v>#N/A</v>
      </c>
      <c r="Q337" s="148"/>
      <c r="R337" s="148" t="e">
        <f>VLOOKUP(Q337,MAESTRO!$P$5:$Q$8,2,FALSE)</f>
        <v>#N/A</v>
      </c>
      <c r="S337" s="149" t="str">
        <f t="shared" si="14"/>
        <v>NO ES TITULAR</v>
      </c>
      <c r="T337" s="154" t="str">
        <f t="shared" si="15"/>
        <v>NO ES TITULAR</v>
      </c>
      <c r="U337" s="157"/>
      <c r="V337" s="155"/>
      <c r="W337" s="140"/>
    </row>
    <row r="338" spans="1:23" ht="15.75" customHeight="1">
      <c r="A338" s="148"/>
      <c r="B338" s="148"/>
      <c r="C338" s="158" t="e">
        <f>VLOOKUP(B338,MAESTRO!$D$4:$E$10,2,FALSE)</f>
        <v>#N/A</v>
      </c>
      <c r="D338" s="145" t="e">
        <f t="shared" si="21"/>
        <v>#N/A</v>
      </c>
      <c r="E338" s="160"/>
      <c r="F338" s="140"/>
      <c r="G338" s="141" t="e">
        <f>VLOOKUP(F338,MAESTRO!$G$4:$H$14,2,FALSE)</f>
        <v>#N/A</v>
      </c>
      <c r="H338" s="140"/>
      <c r="I338" s="140"/>
      <c r="J338" s="143"/>
      <c r="K338" s="163"/>
      <c r="L338" s="145">
        <f t="shared" ca="1" si="19"/>
        <v>126</v>
      </c>
      <c r="M338" s="166"/>
      <c r="N338" s="144"/>
      <c r="O338" s="145">
        <f t="shared" si="20"/>
        <v>0</v>
      </c>
      <c r="P338" s="168" t="e">
        <f>IF(N338="PRIMERA",
   VLOOKUP(O338,MAESTRO!M:O,2,FALSE),
   VLOOKUP(O338,MAESTRO!M:O,3,FALSE)
)</f>
        <v>#N/A</v>
      </c>
      <c r="Q338" s="148"/>
      <c r="R338" s="148" t="e">
        <f>VLOOKUP(Q338,MAESTRO!$P$5:$Q$8,2,FALSE)</f>
        <v>#N/A</v>
      </c>
      <c r="S338" s="149" t="str">
        <f t="shared" si="14"/>
        <v>NO ES TITULAR</v>
      </c>
      <c r="T338" s="154" t="str">
        <f t="shared" si="15"/>
        <v>NO ES TITULAR</v>
      </c>
      <c r="U338" s="157"/>
      <c r="V338" s="155"/>
      <c r="W338" s="140"/>
    </row>
    <row r="339" spans="1:23" ht="15.75" customHeight="1">
      <c r="A339" s="148"/>
      <c r="B339" s="148"/>
      <c r="C339" s="158" t="e">
        <f>VLOOKUP(B339,MAESTRO!$D$4:$E$10,2,FALSE)</f>
        <v>#N/A</v>
      </c>
      <c r="D339" s="145" t="e">
        <f t="shared" si="21"/>
        <v>#N/A</v>
      </c>
      <c r="E339" s="160"/>
      <c r="F339" s="140"/>
      <c r="G339" s="141" t="e">
        <f>VLOOKUP(F339,MAESTRO!$G$4:$H$14,2,FALSE)</f>
        <v>#N/A</v>
      </c>
      <c r="H339" s="140"/>
      <c r="I339" s="140"/>
      <c r="J339" s="143"/>
      <c r="K339" s="163"/>
      <c r="L339" s="145">
        <f t="shared" ca="1" si="19"/>
        <v>126</v>
      </c>
      <c r="M339" s="166"/>
      <c r="N339" s="144"/>
      <c r="O339" s="145">
        <f t="shared" si="20"/>
        <v>0</v>
      </c>
      <c r="P339" s="168" t="e">
        <f>IF(N339="PRIMERA",
   VLOOKUP(O339,MAESTRO!M:O,2,FALSE),
   VLOOKUP(O339,MAESTRO!M:O,3,FALSE)
)</f>
        <v>#N/A</v>
      </c>
      <c r="Q339" s="148"/>
      <c r="R339" s="148" t="e">
        <f>VLOOKUP(Q339,MAESTRO!$P$5:$Q$8,2,FALSE)</f>
        <v>#N/A</v>
      </c>
      <c r="S339" s="149" t="str">
        <f t="shared" si="14"/>
        <v>NO ES TITULAR</v>
      </c>
      <c r="T339" s="154" t="str">
        <f t="shared" si="15"/>
        <v>NO ES TITULAR</v>
      </c>
      <c r="U339" s="157"/>
      <c r="V339" s="155"/>
      <c r="W339" s="140"/>
    </row>
    <row r="340" spans="1:23" ht="15.75" customHeight="1">
      <c r="A340" s="148"/>
      <c r="B340" s="148"/>
      <c r="C340" s="158" t="e">
        <f>VLOOKUP(B340,MAESTRO!$D$4:$E$10,2,FALSE)</f>
        <v>#N/A</v>
      </c>
      <c r="D340" s="145" t="e">
        <f t="shared" si="21"/>
        <v>#N/A</v>
      </c>
      <c r="E340" s="160"/>
      <c r="F340" s="140"/>
      <c r="G340" s="141" t="e">
        <f>VLOOKUP(F340,MAESTRO!$G$4:$H$14,2,FALSE)</f>
        <v>#N/A</v>
      </c>
      <c r="H340" s="140"/>
      <c r="I340" s="140"/>
      <c r="J340" s="143"/>
      <c r="K340" s="163"/>
      <c r="L340" s="145">
        <f t="shared" ca="1" si="19"/>
        <v>126</v>
      </c>
      <c r="M340" s="166"/>
      <c r="N340" s="144"/>
      <c r="O340" s="145">
        <f t="shared" si="20"/>
        <v>0</v>
      </c>
      <c r="P340" s="168" t="e">
        <f>IF(N340="PRIMERA",
   VLOOKUP(O340,MAESTRO!M:O,2,FALSE),
   VLOOKUP(O340,MAESTRO!M:O,3,FALSE)
)</f>
        <v>#N/A</v>
      </c>
      <c r="Q340" s="148"/>
      <c r="R340" s="148" t="e">
        <f>VLOOKUP(Q340,MAESTRO!$P$5:$Q$8,2,FALSE)</f>
        <v>#N/A</v>
      </c>
      <c r="S340" s="149" t="str">
        <f t="shared" si="14"/>
        <v>NO ES TITULAR</v>
      </c>
      <c r="T340" s="154" t="str">
        <f t="shared" si="15"/>
        <v>NO ES TITULAR</v>
      </c>
      <c r="U340" s="157"/>
      <c r="V340" s="155"/>
      <c r="W340" s="140"/>
    </row>
    <row r="341" spans="1:23" ht="15.75" customHeight="1">
      <c r="A341" s="148"/>
      <c r="B341" s="148"/>
      <c r="C341" s="158" t="e">
        <f>VLOOKUP(B341,MAESTRO!$D$4:$E$10,2,FALSE)</f>
        <v>#N/A</v>
      </c>
      <c r="D341" s="145" t="e">
        <f t="shared" si="21"/>
        <v>#N/A</v>
      </c>
      <c r="E341" s="160"/>
      <c r="F341" s="140"/>
      <c r="G341" s="141" t="e">
        <f>VLOOKUP(F341,MAESTRO!$G$4:$H$14,2,FALSE)</f>
        <v>#N/A</v>
      </c>
      <c r="H341" s="140"/>
      <c r="I341" s="140"/>
      <c r="J341" s="143"/>
      <c r="K341" s="163"/>
      <c r="L341" s="145">
        <f t="shared" ca="1" si="19"/>
        <v>126</v>
      </c>
      <c r="M341" s="166"/>
      <c r="N341" s="144"/>
      <c r="O341" s="145">
        <f t="shared" si="20"/>
        <v>0</v>
      </c>
      <c r="P341" s="168" t="e">
        <f>IF(N341="PRIMERA",
   VLOOKUP(O341,MAESTRO!M:O,2,FALSE),
   VLOOKUP(O341,MAESTRO!M:O,3,FALSE)
)</f>
        <v>#N/A</v>
      </c>
      <c r="Q341" s="148"/>
      <c r="R341" s="148" t="e">
        <f>VLOOKUP(Q341,MAESTRO!$P$5:$Q$8,2,FALSE)</f>
        <v>#N/A</v>
      </c>
      <c r="S341" s="149" t="str">
        <f t="shared" si="14"/>
        <v>NO ES TITULAR</v>
      </c>
      <c r="T341" s="154" t="str">
        <f t="shared" si="15"/>
        <v>NO ES TITULAR</v>
      </c>
      <c r="U341" s="157"/>
      <c r="V341" s="155"/>
      <c r="W341" s="140"/>
    </row>
    <row r="342" spans="1:23" ht="15.75" customHeight="1">
      <c r="A342" s="148"/>
      <c r="B342" s="148"/>
      <c r="C342" s="158" t="e">
        <f>VLOOKUP(B342,MAESTRO!$D$4:$E$10,2,FALSE)</f>
        <v>#N/A</v>
      </c>
      <c r="D342" s="145" t="e">
        <f t="shared" si="21"/>
        <v>#N/A</v>
      </c>
      <c r="E342" s="160"/>
      <c r="F342" s="140"/>
      <c r="G342" s="141" t="e">
        <f>VLOOKUP(F342,MAESTRO!$G$4:$H$14,2,FALSE)</f>
        <v>#N/A</v>
      </c>
      <c r="H342" s="140"/>
      <c r="I342" s="140"/>
      <c r="J342" s="143"/>
      <c r="K342" s="163"/>
      <c r="L342" s="145">
        <f t="shared" ca="1" si="19"/>
        <v>126</v>
      </c>
      <c r="M342" s="166"/>
      <c r="N342" s="144"/>
      <c r="O342" s="145">
        <f t="shared" si="20"/>
        <v>0</v>
      </c>
      <c r="P342" s="168" t="e">
        <f>IF(N342="PRIMERA",
   VLOOKUP(O342,MAESTRO!M:O,2,FALSE),
   VLOOKUP(O342,MAESTRO!M:O,3,FALSE)
)</f>
        <v>#N/A</v>
      </c>
      <c r="Q342" s="148"/>
      <c r="R342" s="148" t="e">
        <f>VLOOKUP(Q342,MAESTRO!$P$5:$Q$8,2,FALSE)</f>
        <v>#N/A</v>
      </c>
      <c r="S342" s="149" t="str">
        <f t="shared" si="14"/>
        <v>NO ES TITULAR</v>
      </c>
      <c r="T342" s="154" t="str">
        <f t="shared" si="15"/>
        <v>NO ES TITULAR</v>
      </c>
      <c r="U342" s="157"/>
      <c r="V342" s="155"/>
      <c r="W342" s="140"/>
    </row>
    <row r="343" spans="1:23" ht="15.75" customHeight="1">
      <c r="A343" s="148"/>
      <c r="B343" s="148"/>
      <c r="C343" s="158" t="e">
        <f>VLOOKUP(B343,MAESTRO!$D$4:$E$10,2,FALSE)</f>
        <v>#N/A</v>
      </c>
      <c r="D343" s="145" t="e">
        <f t="shared" si="21"/>
        <v>#N/A</v>
      </c>
      <c r="E343" s="160"/>
      <c r="F343" s="140"/>
      <c r="G343" s="141" t="e">
        <f>VLOOKUP(F343,MAESTRO!$G$4:$H$14,2,FALSE)</f>
        <v>#N/A</v>
      </c>
      <c r="H343" s="140"/>
      <c r="I343" s="140"/>
      <c r="J343" s="143"/>
      <c r="K343" s="163"/>
      <c r="L343" s="145">
        <f t="shared" ca="1" si="19"/>
        <v>126</v>
      </c>
      <c r="M343" s="166"/>
      <c r="N343" s="144"/>
      <c r="O343" s="145">
        <f t="shared" si="20"/>
        <v>0</v>
      </c>
      <c r="P343" s="168" t="e">
        <f>IF(N343="PRIMERA",
   VLOOKUP(O343,MAESTRO!M:O,2,FALSE),
   VLOOKUP(O343,MAESTRO!M:O,3,FALSE)
)</f>
        <v>#N/A</v>
      </c>
      <c r="Q343" s="148"/>
      <c r="R343" s="148" t="e">
        <f>VLOOKUP(Q343,MAESTRO!$P$5:$Q$8,2,FALSE)</f>
        <v>#N/A</v>
      </c>
      <c r="S343" s="149" t="str">
        <f t="shared" si="14"/>
        <v>NO ES TITULAR</v>
      </c>
      <c r="T343" s="154" t="str">
        <f t="shared" si="15"/>
        <v>NO ES TITULAR</v>
      </c>
      <c r="U343" s="157"/>
      <c r="V343" s="155"/>
      <c r="W343" s="140"/>
    </row>
    <row r="344" spans="1:23" ht="15.75" customHeight="1">
      <c r="A344" s="148"/>
      <c r="B344" s="148"/>
      <c r="C344" s="158" t="e">
        <f>VLOOKUP(B344,MAESTRO!$D$4:$E$10,2,FALSE)</f>
        <v>#N/A</v>
      </c>
      <c r="D344" s="145" t="e">
        <f t="shared" si="21"/>
        <v>#N/A</v>
      </c>
      <c r="E344" s="160"/>
      <c r="F344" s="140"/>
      <c r="G344" s="141" t="e">
        <f>VLOOKUP(F344,MAESTRO!$G$4:$H$14,2,FALSE)</f>
        <v>#N/A</v>
      </c>
      <c r="H344" s="140"/>
      <c r="I344" s="140"/>
      <c r="J344" s="143"/>
      <c r="K344" s="163"/>
      <c r="L344" s="145">
        <f t="shared" ca="1" si="19"/>
        <v>126</v>
      </c>
      <c r="M344" s="166"/>
      <c r="N344" s="144"/>
      <c r="O344" s="145">
        <f t="shared" si="20"/>
        <v>0</v>
      </c>
      <c r="P344" s="168" t="e">
        <f>IF(N344="PRIMERA",
   VLOOKUP(O344,MAESTRO!M:O,2,FALSE),
   VLOOKUP(O344,MAESTRO!M:O,3,FALSE)
)</f>
        <v>#N/A</v>
      </c>
      <c r="Q344" s="148"/>
      <c r="R344" s="148" t="e">
        <f>VLOOKUP(Q344,MAESTRO!$P$5:$Q$8,2,FALSE)</f>
        <v>#N/A</v>
      </c>
      <c r="S344" s="149" t="str">
        <f t="shared" si="14"/>
        <v>NO ES TITULAR</v>
      </c>
      <c r="T344" s="154" t="str">
        <f t="shared" si="15"/>
        <v>NO ES TITULAR</v>
      </c>
      <c r="U344" s="157"/>
      <c r="V344" s="155"/>
      <c r="W344" s="140"/>
    </row>
    <row r="345" spans="1:23" ht="15.75" customHeight="1">
      <c r="A345" s="148"/>
      <c r="B345" s="148"/>
      <c r="C345" s="158" t="e">
        <f>VLOOKUP(B345,MAESTRO!$D$4:$E$10,2,FALSE)</f>
        <v>#N/A</v>
      </c>
      <c r="D345" s="145" t="e">
        <f t="shared" si="21"/>
        <v>#N/A</v>
      </c>
      <c r="E345" s="160"/>
      <c r="F345" s="140"/>
      <c r="G345" s="141" t="e">
        <f>VLOOKUP(F345,MAESTRO!$G$4:$H$14,2,FALSE)</f>
        <v>#N/A</v>
      </c>
      <c r="H345" s="140"/>
      <c r="I345" s="140"/>
      <c r="J345" s="143"/>
      <c r="K345" s="163"/>
      <c r="L345" s="145">
        <f t="shared" ca="1" si="19"/>
        <v>126</v>
      </c>
      <c r="M345" s="166"/>
      <c r="N345" s="144"/>
      <c r="O345" s="145">
        <f t="shared" si="20"/>
        <v>0</v>
      </c>
      <c r="P345" s="168" t="e">
        <f>IF(N345="PRIMERA",
   VLOOKUP(O345,MAESTRO!M:O,2,FALSE),
   VLOOKUP(O345,MAESTRO!M:O,3,FALSE)
)</f>
        <v>#N/A</v>
      </c>
      <c r="Q345" s="148"/>
      <c r="R345" s="148" t="e">
        <f>VLOOKUP(Q345,MAESTRO!$P$5:$Q$8,2,FALSE)</f>
        <v>#N/A</v>
      </c>
      <c r="S345" s="149" t="str">
        <f t="shared" si="14"/>
        <v>NO ES TITULAR</v>
      </c>
      <c r="T345" s="154" t="str">
        <f t="shared" si="15"/>
        <v>NO ES TITULAR</v>
      </c>
      <c r="U345" s="157"/>
      <c r="V345" s="155"/>
      <c r="W345" s="140"/>
    </row>
    <row r="346" spans="1:23" ht="15.75" customHeight="1">
      <c r="A346" s="148"/>
      <c r="B346" s="148"/>
      <c r="C346" s="158" t="e">
        <f>VLOOKUP(B346,MAESTRO!$D$4:$E$10,2,FALSE)</f>
        <v>#N/A</v>
      </c>
      <c r="D346" s="145" t="e">
        <f t="shared" si="21"/>
        <v>#N/A</v>
      </c>
      <c r="E346" s="160"/>
      <c r="F346" s="140"/>
      <c r="G346" s="141" t="e">
        <f>VLOOKUP(F346,MAESTRO!$G$4:$H$14,2,FALSE)</f>
        <v>#N/A</v>
      </c>
      <c r="H346" s="140"/>
      <c r="I346" s="140"/>
      <c r="J346" s="143"/>
      <c r="K346" s="163"/>
      <c r="L346" s="145">
        <f t="shared" ca="1" si="19"/>
        <v>126</v>
      </c>
      <c r="M346" s="166"/>
      <c r="N346" s="144"/>
      <c r="O346" s="145">
        <f t="shared" si="20"/>
        <v>0</v>
      </c>
      <c r="P346" s="168" t="e">
        <f>IF(N346="PRIMERA",
   VLOOKUP(O346,MAESTRO!M:O,2,FALSE),
   VLOOKUP(O346,MAESTRO!M:O,3,FALSE)
)</f>
        <v>#N/A</v>
      </c>
      <c r="Q346" s="148"/>
      <c r="R346" s="148" t="e">
        <f>VLOOKUP(Q346,MAESTRO!$P$5:$Q$8,2,FALSE)</f>
        <v>#N/A</v>
      </c>
      <c r="S346" s="149" t="str">
        <f t="shared" si="14"/>
        <v>NO ES TITULAR</v>
      </c>
      <c r="T346" s="154" t="str">
        <f t="shared" si="15"/>
        <v>NO ES TITULAR</v>
      </c>
      <c r="U346" s="157"/>
      <c r="V346" s="155"/>
      <c r="W346" s="140"/>
    </row>
    <row r="347" spans="1:23" ht="15.75" customHeight="1">
      <c r="A347" s="148"/>
      <c r="B347" s="148"/>
      <c r="C347" s="158" t="e">
        <f>VLOOKUP(B347,MAESTRO!$D$4:$E$10,2,FALSE)</f>
        <v>#N/A</v>
      </c>
      <c r="D347" s="145" t="e">
        <f t="shared" si="21"/>
        <v>#N/A</v>
      </c>
      <c r="E347" s="160"/>
      <c r="F347" s="140"/>
      <c r="G347" s="141" t="e">
        <f>VLOOKUP(F347,MAESTRO!$G$4:$H$14,2,FALSE)</f>
        <v>#N/A</v>
      </c>
      <c r="H347" s="140"/>
      <c r="I347" s="140"/>
      <c r="J347" s="143"/>
      <c r="K347" s="163"/>
      <c r="L347" s="145">
        <f t="shared" ca="1" si="19"/>
        <v>126</v>
      </c>
      <c r="M347" s="166"/>
      <c r="N347" s="144"/>
      <c r="O347" s="145">
        <f t="shared" si="20"/>
        <v>0</v>
      </c>
      <c r="P347" s="168" t="e">
        <f>IF(N347="PRIMERA",
   VLOOKUP(O347,MAESTRO!M:O,2,FALSE),
   VLOOKUP(O347,MAESTRO!M:O,3,FALSE)
)</f>
        <v>#N/A</v>
      </c>
      <c r="Q347" s="148"/>
      <c r="R347" s="148" t="e">
        <f>VLOOKUP(Q347,MAESTRO!$P$5:$Q$8,2,FALSE)</f>
        <v>#N/A</v>
      </c>
      <c r="S347" s="149" t="str">
        <f t="shared" si="14"/>
        <v>NO ES TITULAR</v>
      </c>
      <c r="T347" s="154" t="str">
        <f t="shared" si="15"/>
        <v>NO ES TITULAR</v>
      </c>
      <c r="U347" s="157"/>
      <c r="V347" s="155"/>
      <c r="W347" s="140"/>
    </row>
    <row r="348" spans="1:23" ht="15.75" customHeight="1">
      <c r="A348" s="148"/>
      <c r="B348" s="148"/>
      <c r="C348" s="158" t="e">
        <f>VLOOKUP(B348,MAESTRO!$D$4:$E$10,2,FALSE)</f>
        <v>#N/A</v>
      </c>
      <c r="D348" s="145" t="e">
        <f t="shared" si="21"/>
        <v>#N/A</v>
      </c>
      <c r="E348" s="160"/>
      <c r="F348" s="140"/>
      <c r="G348" s="141" t="e">
        <f>VLOOKUP(F348,MAESTRO!$G$4:$H$14,2,FALSE)</f>
        <v>#N/A</v>
      </c>
      <c r="H348" s="140"/>
      <c r="I348" s="140"/>
      <c r="J348" s="143"/>
      <c r="K348" s="163"/>
      <c r="L348" s="145">
        <f t="shared" ca="1" si="19"/>
        <v>126</v>
      </c>
      <c r="M348" s="166"/>
      <c r="N348" s="144"/>
      <c r="O348" s="145">
        <f t="shared" si="20"/>
        <v>0</v>
      </c>
      <c r="P348" s="168" t="e">
        <f>IF(N348="PRIMERA",
   VLOOKUP(O348,MAESTRO!M:O,2,FALSE),
   VLOOKUP(O348,MAESTRO!M:O,3,FALSE)
)</f>
        <v>#N/A</v>
      </c>
      <c r="Q348" s="148"/>
      <c r="R348" s="148" t="e">
        <f>VLOOKUP(Q348,MAESTRO!$P$5:$Q$8,2,FALSE)</f>
        <v>#N/A</v>
      </c>
      <c r="S348" s="149" t="str">
        <f t="shared" si="14"/>
        <v>NO ES TITULAR</v>
      </c>
      <c r="T348" s="154" t="str">
        <f t="shared" si="15"/>
        <v>NO ES TITULAR</v>
      </c>
      <c r="U348" s="157"/>
      <c r="V348" s="155"/>
      <c r="W348" s="140"/>
    </row>
    <row r="349" spans="1:23" ht="15.75" customHeight="1">
      <c r="A349" s="148"/>
      <c r="B349" s="148"/>
      <c r="C349" s="158" t="e">
        <f>VLOOKUP(B349,MAESTRO!$D$4:$E$10,2,FALSE)</f>
        <v>#N/A</v>
      </c>
      <c r="D349" s="145" t="e">
        <f t="shared" si="21"/>
        <v>#N/A</v>
      </c>
      <c r="E349" s="160"/>
      <c r="F349" s="140"/>
      <c r="G349" s="141" t="e">
        <f>VLOOKUP(F349,MAESTRO!$G$4:$H$14,2,FALSE)</f>
        <v>#N/A</v>
      </c>
      <c r="H349" s="140"/>
      <c r="I349" s="140"/>
      <c r="J349" s="143"/>
      <c r="K349" s="163"/>
      <c r="L349" s="145">
        <f t="shared" ca="1" si="19"/>
        <v>126</v>
      </c>
      <c r="M349" s="166"/>
      <c r="N349" s="144"/>
      <c r="O349" s="145">
        <f t="shared" si="20"/>
        <v>0</v>
      </c>
      <c r="P349" s="168" t="e">
        <f>IF(N349="PRIMERA",
   VLOOKUP(O349,MAESTRO!M:O,2,FALSE),
   VLOOKUP(O349,MAESTRO!M:O,3,FALSE)
)</f>
        <v>#N/A</v>
      </c>
      <c r="Q349" s="148"/>
      <c r="R349" s="148" t="e">
        <f>VLOOKUP(Q349,MAESTRO!$P$5:$Q$8,2,FALSE)</f>
        <v>#N/A</v>
      </c>
      <c r="S349" s="149" t="str">
        <f t="shared" si="14"/>
        <v>NO ES TITULAR</v>
      </c>
      <c r="T349" s="154" t="str">
        <f t="shared" si="15"/>
        <v>NO ES TITULAR</v>
      </c>
      <c r="U349" s="157"/>
      <c r="V349" s="155"/>
      <c r="W349" s="140"/>
    </row>
    <row r="350" spans="1:23" ht="15.75" customHeight="1">
      <c r="A350" s="148"/>
      <c r="B350" s="148"/>
      <c r="C350" s="158" t="e">
        <f>VLOOKUP(B350,MAESTRO!$D$4:$E$10,2,FALSE)</f>
        <v>#N/A</v>
      </c>
      <c r="D350" s="145" t="e">
        <f t="shared" si="21"/>
        <v>#N/A</v>
      </c>
      <c r="E350" s="160"/>
      <c r="F350" s="140"/>
      <c r="G350" s="141" t="e">
        <f>VLOOKUP(F350,MAESTRO!$G$4:$H$14,2,FALSE)</f>
        <v>#N/A</v>
      </c>
      <c r="H350" s="140"/>
      <c r="I350" s="140"/>
      <c r="J350" s="143"/>
      <c r="K350" s="163"/>
      <c r="L350" s="145">
        <f t="shared" ca="1" si="19"/>
        <v>126</v>
      </c>
      <c r="M350" s="166"/>
      <c r="N350" s="144"/>
      <c r="O350" s="145">
        <f t="shared" si="20"/>
        <v>0</v>
      </c>
      <c r="P350" s="168" t="e">
        <f>IF(N350="PRIMERA",
   VLOOKUP(O350,MAESTRO!M:O,2,FALSE),
   VLOOKUP(O350,MAESTRO!M:O,3,FALSE)
)</f>
        <v>#N/A</v>
      </c>
      <c r="Q350" s="148"/>
      <c r="R350" s="148" t="e">
        <f>VLOOKUP(Q350,MAESTRO!$P$5:$Q$8,2,FALSE)</f>
        <v>#N/A</v>
      </c>
      <c r="S350" s="149" t="str">
        <f t="shared" si="14"/>
        <v>NO ES TITULAR</v>
      </c>
      <c r="T350" s="154" t="str">
        <f t="shared" si="15"/>
        <v>NO ES TITULAR</v>
      </c>
      <c r="U350" s="157"/>
      <c r="V350" s="155"/>
      <c r="W350" s="140"/>
    </row>
    <row r="351" spans="1:23" ht="15.75" customHeight="1">
      <c r="A351" s="148"/>
      <c r="B351" s="148"/>
      <c r="C351" s="158" t="e">
        <f>VLOOKUP(B351,MAESTRO!$D$4:$E$10,2,FALSE)</f>
        <v>#N/A</v>
      </c>
      <c r="D351" s="145" t="e">
        <f t="shared" si="21"/>
        <v>#N/A</v>
      </c>
      <c r="E351" s="160"/>
      <c r="F351" s="140"/>
      <c r="G351" s="141" t="e">
        <f>VLOOKUP(F351,MAESTRO!$G$4:$H$14,2,FALSE)</f>
        <v>#N/A</v>
      </c>
      <c r="H351" s="140"/>
      <c r="I351" s="140"/>
      <c r="J351" s="143"/>
      <c r="K351" s="163"/>
      <c r="L351" s="145">
        <f t="shared" ca="1" si="19"/>
        <v>126</v>
      </c>
      <c r="M351" s="166"/>
      <c r="N351" s="144"/>
      <c r="O351" s="145">
        <f t="shared" si="20"/>
        <v>0</v>
      </c>
      <c r="P351" s="168" t="e">
        <f>IF(N351="PRIMERA",
   VLOOKUP(O351,MAESTRO!M:O,2,FALSE),
   VLOOKUP(O351,MAESTRO!M:O,3,FALSE)
)</f>
        <v>#N/A</v>
      </c>
      <c r="Q351" s="148"/>
      <c r="R351" s="148" t="e">
        <f>VLOOKUP(Q351,MAESTRO!$P$5:$Q$8,2,FALSE)</f>
        <v>#N/A</v>
      </c>
      <c r="S351" s="149" t="str">
        <f t="shared" si="14"/>
        <v>NO ES TITULAR</v>
      </c>
      <c r="T351" s="154" t="str">
        <f t="shared" si="15"/>
        <v>NO ES TITULAR</v>
      </c>
      <c r="U351" s="157"/>
      <c r="V351" s="155"/>
      <c r="W351" s="140"/>
    </row>
    <row r="352" spans="1:23" ht="15.75" customHeight="1">
      <c r="A352" s="148"/>
      <c r="B352" s="148"/>
      <c r="C352" s="158" t="e">
        <f>VLOOKUP(B352,MAESTRO!$D$4:$E$10,2,FALSE)</f>
        <v>#N/A</v>
      </c>
      <c r="D352" s="145" t="e">
        <f t="shared" si="21"/>
        <v>#N/A</v>
      </c>
      <c r="E352" s="160"/>
      <c r="F352" s="140"/>
      <c r="G352" s="141" t="e">
        <f>VLOOKUP(F352,MAESTRO!$G$4:$H$14,2,FALSE)</f>
        <v>#N/A</v>
      </c>
      <c r="H352" s="140"/>
      <c r="I352" s="140"/>
      <c r="J352" s="143"/>
      <c r="K352" s="163"/>
      <c r="L352" s="145">
        <f t="shared" ca="1" si="19"/>
        <v>126</v>
      </c>
      <c r="M352" s="166"/>
      <c r="N352" s="144"/>
      <c r="O352" s="145">
        <f t="shared" si="20"/>
        <v>0</v>
      </c>
      <c r="P352" s="168" t="e">
        <f>IF(N352="PRIMERA",
   VLOOKUP(O352,MAESTRO!M:O,2,FALSE),
   VLOOKUP(O352,MAESTRO!M:O,3,FALSE)
)</f>
        <v>#N/A</v>
      </c>
      <c r="Q352" s="148"/>
      <c r="R352" s="148" t="e">
        <f>VLOOKUP(Q352,MAESTRO!$P$5:$Q$8,2,FALSE)</f>
        <v>#N/A</v>
      </c>
      <c r="S352" s="149" t="str">
        <f t="shared" si="14"/>
        <v>NO ES TITULAR</v>
      </c>
      <c r="T352" s="154" t="str">
        <f t="shared" si="15"/>
        <v>NO ES TITULAR</v>
      </c>
      <c r="U352" s="157"/>
      <c r="V352" s="155"/>
      <c r="W352" s="140"/>
    </row>
    <row r="353" spans="1:23" ht="15.75" customHeight="1">
      <c r="A353" s="148"/>
      <c r="B353" s="148"/>
      <c r="C353" s="158" t="e">
        <f>VLOOKUP(B353,MAESTRO!$D$4:$E$10,2,FALSE)</f>
        <v>#N/A</v>
      </c>
      <c r="D353" s="145" t="e">
        <f t="shared" si="21"/>
        <v>#N/A</v>
      </c>
      <c r="E353" s="160"/>
      <c r="F353" s="140"/>
      <c r="G353" s="141" t="e">
        <f>VLOOKUP(F353,MAESTRO!$G$4:$H$14,2,FALSE)</f>
        <v>#N/A</v>
      </c>
      <c r="H353" s="140"/>
      <c r="I353" s="140"/>
      <c r="J353" s="143"/>
      <c r="K353" s="163"/>
      <c r="L353" s="145">
        <f t="shared" ca="1" si="19"/>
        <v>126</v>
      </c>
      <c r="M353" s="166"/>
      <c r="N353" s="144"/>
      <c r="O353" s="145">
        <f t="shared" si="20"/>
        <v>0</v>
      </c>
      <c r="P353" s="168" t="e">
        <f>IF(N353="PRIMERA",
   VLOOKUP(O353,MAESTRO!M:O,2,FALSE),
   VLOOKUP(O353,MAESTRO!M:O,3,FALSE)
)</f>
        <v>#N/A</v>
      </c>
      <c r="Q353" s="148"/>
      <c r="R353" s="148" t="e">
        <f>VLOOKUP(Q353,MAESTRO!$P$5:$Q$8,2,FALSE)</f>
        <v>#N/A</v>
      </c>
      <c r="S353" s="149" t="str">
        <f t="shared" si="14"/>
        <v>NO ES TITULAR</v>
      </c>
      <c r="T353" s="154" t="str">
        <f t="shared" si="15"/>
        <v>NO ES TITULAR</v>
      </c>
      <c r="U353" s="157"/>
      <c r="V353" s="155"/>
      <c r="W353" s="140"/>
    </row>
    <row r="354" spans="1:23" ht="15.75" customHeight="1">
      <c r="A354" s="148"/>
      <c r="B354" s="148"/>
      <c r="C354" s="158" t="e">
        <f>VLOOKUP(B354,MAESTRO!$D$4:$E$10,2,FALSE)</f>
        <v>#N/A</v>
      </c>
      <c r="D354" s="145" t="e">
        <f t="shared" si="21"/>
        <v>#N/A</v>
      </c>
      <c r="E354" s="160"/>
      <c r="F354" s="140"/>
      <c r="G354" s="141" t="e">
        <f>VLOOKUP(F354,MAESTRO!$G$4:$H$14,2,FALSE)</f>
        <v>#N/A</v>
      </c>
      <c r="H354" s="140"/>
      <c r="I354" s="140"/>
      <c r="J354" s="143"/>
      <c r="K354" s="163"/>
      <c r="L354" s="145">
        <f t="shared" ca="1" si="19"/>
        <v>126</v>
      </c>
      <c r="M354" s="166"/>
      <c r="N354" s="144"/>
      <c r="O354" s="145">
        <f t="shared" si="20"/>
        <v>0</v>
      </c>
      <c r="P354" s="168" t="e">
        <f>IF(N354="PRIMERA",
   VLOOKUP(O354,MAESTRO!M:O,2,FALSE),
   VLOOKUP(O354,MAESTRO!M:O,3,FALSE)
)</f>
        <v>#N/A</v>
      </c>
      <c r="Q354" s="148"/>
      <c r="R354" s="148" t="e">
        <f>VLOOKUP(Q354,MAESTRO!$P$5:$Q$8,2,FALSE)</f>
        <v>#N/A</v>
      </c>
      <c r="S354" s="149" t="str">
        <f t="shared" si="14"/>
        <v>NO ES TITULAR</v>
      </c>
      <c r="T354" s="154" t="str">
        <f t="shared" si="15"/>
        <v>NO ES TITULAR</v>
      </c>
      <c r="U354" s="157"/>
      <c r="V354" s="155"/>
      <c r="W354" s="140"/>
    </row>
    <row r="355" spans="1:23" ht="15.75" customHeight="1">
      <c r="A355" s="148"/>
      <c r="B355" s="148"/>
      <c r="C355" s="158" t="e">
        <f>VLOOKUP(B355,MAESTRO!$D$4:$E$10,2,FALSE)</f>
        <v>#N/A</v>
      </c>
      <c r="D355" s="145" t="e">
        <f t="shared" si="21"/>
        <v>#N/A</v>
      </c>
      <c r="E355" s="160"/>
      <c r="F355" s="140"/>
      <c r="G355" s="141" t="e">
        <f>VLOOKUP(F355,MAESTRO!$G$4:$H$14,2,FALSE)</f>
        <v>#N/A</v>
      </c>
      <c r="H355" s="140"/>
      <c r="I355" s="140"/>
      <c r="J355" s="143"/>
      <c r="K355" s="163"/>
      <c r="L355" s="145">
        <f t="shared" ca="1" si="19"/>
        <v>126</v>
      </c>
      <c r="M355" s="166"/>
      <c r="N355" s="144"/>
      <c r="O355" s="145">
        <f t="shared" si="20"/>
        <v>0</v>
      </c>
      <c r="P355" s="168" t="e">
        <f>IF(N355="PRIMERA",
   VLOOKUP(O355,MAESTRO!M:O,2,FALSE),
   VLOOKUP(O355,MAESTRO!M:O,3,FALSE)
)</f>
        <v>#N/A</v>
      </c>
      <c r="Q355" s="148"/>
      <c r="R355" s="148" t="e">
        <f>VLOOKUP(Q355,MAESTRO!$P$5:$Q$8,2,FALSE)</f>
        <v>#N/A</v>
      </c>
      <c r="S355" s="149" t="str">
        <f t="shared" si="14"/>
        <v>NO ES TITULAR</v>
      </c>
      <c r="T355" s="154" t="str">
        <f t="shared" si="15"/>
        <v>NO ES TITULAR</v>
      </c>
      <c r="U355" s="157"/>
      <c r="V355" s="155"/>
      <c r="W355" s="140"/>
    </row>
    <row r="356" spans="1:23" ht="15.75" customHeight="1">
      <c r="A356" s="148"/>
      <c r="B356" s="148"/>
      <c r="C356" s="158" t="e">
        <f>VLOOKUP(B356,MAESTRO!$D$4:$E$10,2,FALSE)</f>
        <v>#N/A</v>
      </c>
      <c r="D356" s="145" t="e">
        <f t="shared" si="21"/>
        <v>#N/A</v>
      </c>
      <c r="E356" s="160"/>
      <c r="F356" s="140"/>
      <c r="G356" s="141" t="e">
        <f>VLOOKUP(F356,MAESTRO!$G$4:$H$14,2,FALSE)</f>
        <v>#N/A</v>
      </c>
      <c r="H356" s="140"/>
      <c r="I356" s="140"/>
      <c r="J356" s="143"/>
      <c r="K356" s="163"/>
      <c r="L356" s="145">
        <f t="shared" ca="1" si="19"/>
        <v>126</v>
      </c>
      <c r="M356" s="166"/>
      <c r="N356" s="144"/>
      <c r="O356" s="145">
        <f t="shared" si="20"/>
        <v>0</v>
      </c>
      <c r="P356" s="168" t="e">
        <f>IF(N356="PRIMERA",
   VLOOKUP(O356,MAESTRO!M:O,2,FALSE),
   VLOOKUP(O356,MAESTRO!M:O,3,FALSE)
)</f>
        <v>#N/A</v>
      </c>
      <c r="Q356" s="148"/>
      <c r="R356" s="148" t="e">
        <f>VLOOKUP(Q356,MAESTRO!$P$5:$Q$8,2,FALSE)</f>
        <v>#N/A</v>
      </c>
      <c r="S356" s="149" t="str">
        <f t="shared" si="14"/>
        <v>NO ES TITULAR</v>
      </c>
      <c r="T356" s="154" t="str">
        <f t="shared" si="15"/>
        <v>NO ES TITULAR</v>
      </c>
      <c r="U356" s="157"/>
      <c r="V356" s="155"/>
      <c r="W356" s="140"/>
    </row>
    <row r="357" spans="1:23" ht="15.75" customHeight="1">
      <c r="A357" s="148"/>
      <c r="B357" s="148"/>
      <c r="C357" s="158" t="e">
        <f>VLOOKUP(B357,MAESTRO!$D$4:$E$10,2,FALSE)</f>
        <v>#N/A</v>
      </c>
      <c r="D357" s="145" t="e">
        <f t="shared" si="21"/>
        <v>#N/A</v>
      </c>
      <c r="E357" s="160"/>
      <c r="F357" s="140"/>
      <c r="G357" s="141" t="e">
        <f>VLOOKUP(F357,MAESTRO!$G$4:$H$14,2,FALSE)</f>
        <v>#N/A</v>
      </c>
      <c r="H357" s="140"/>
      <c r="I357" s="140"/>
      <c r="J357" s="143"/>
      <c r="K357" s="163"/>
      <c r="L357" s="145">
        <f t="shared" ca="1" si="19"/>
        <v>126</v>
      </c>
      <c r="M357" s="166"/>
      <c r="N357" s="144"/>
      <c r="O357" s="145">
        <f t="shared" si="20"/>
        <v>0</v>
      </c>
      <c r="P357" s="168" t="e">
        <f>IF(N357="PRIMERA",
   VLOOKUP(O357,MAESTRO!M:O,2,FALSE),
   VLOOKUP(O357,MAESTRO!M:O,3,FALSE)
)</f>
        <v>#N/A</v>
      </c>
      <c r="Q357" s="148"/>
      <c r="R357" s="148" t="e">
        <f>VLOOKUP(Q357,MAESTRO!$P$5:$Q$8,2,FALSE)</f>
        <v>#N/A</v>
      </c>
      <c r="S357" s="149" t="str">
        <f t="shared" si="14"/>
        <v>NO ES TITULAR</v>
      </c>
      <c r="T357" s="154" t="str">
        <f t="shared" si="15"/>
        <v>NO ES TITULAR</v>
      </c>
      <c r="U357" s="157"/>
      <c r="V357" s="155"/>
      <c r="W357" s="140"/>
    </row>
    <row r="358" spans="1:23" ht="15.75" customHeight="1">
      <c r="A358" s="148"/>
      <c r="B358" s="148"/>
      <c r="C358" s="158" t="e">
        <f>VLOOKUP(B358,MAESTRO!$D$4:$E$10,2,FALSE)</f>
        <v>#N/A</v>
      </c>
      <c r="D358" s="145" t="e">
        <f t="shared" si="21"/>
        <v>#N/A</v>
      </c>
      <c r="E358" s="160"/>
      <c r="F358" s="140"/>
      <c r="G358" s="141" t="e">
        <f>VLOOKUP(F358,MAESTRO!$G$4:$H$14,2,FALSE)</f>
        <v>#N/A</v>
      </c>
      <c r="H358" s="140"/>
      <c r="I358" s="140"/>
      <c r="J358" s="143"/>
      <c r="K358" s="163"/>
      <c r="L358" s="145">
        <f t="shared" ca="1" si="19"/>
        <v>126</v>
      </c>
      <c r="M358" s="166"/>
      <c r="N358" s="144"/>
      <c r="O358" s="145">
        <f t="shared" si="20"/>
        <v>0</v>
      </c>
      <c r="P358" s="168" t="e">
        <f>IF(N358="PRIMERA",
   VLOOKUP(O358,MAESTRO!M:O,2,FALSE),
   VLOOKUP(O358,MAESTRO!M:O,3,FALSE)
)</f>
        <v>#N/A</v>
      </c>
      <c r="Q358" s="148"/>
      <c r="R358" s="148" t="e">
        <f>VLOOKUP(Q358,MAESTRO!$P$5:$Q$8,2,FALSE)</f>
        <v>#N/A</v>
      </c>
      <c r="S358" s="149" t="str">
        <f t="shared" si="14"/>
        <v>NO ES TITULAR</v>
      </c>
      <c r="T358" s="154" t="str">
        <f t="shared" si="15"/>
        <v>NO ES TITULAR</v>
      </c>
      <c r="U358" s="157"/>
      <c r="V358" s="155"/>
      <c r="W358" s="140"/>
    </row>
    <row r="359" spans="1:23" ht="15.75" customHeight="1">
      <c r="A359" s="148"/>
      <c r="B359" s="148"/>
      <c r="C359" s="158" t="e">
        <f>VLOOKUP(B359,MAESTRO!$D$4:$E$10,2,FALSE)</f>
        <v>#N/A</v>
      </c>
      <c r="D359" s="145" t="e">
        <f t="shared" si="21"/>
        <v>#N/A</v>
      </c>
      <c r="E359" s="160"/>
      <c r="F359" s="140"/>
      <c r="G359" s="141" t="e">
        <f>VLOOKUP(F359,MAESTRO!$G$4:$H$14,2,FALSE)</f>
        <v>#N/A</v>
      </c>
      <c r="H359" s="140"/>
      <c r="I359" s="140"/>
      <c r="J359" s="143"/>
      <c r="K359" s="163"/>
      <c r="L359" s="145">
        <f t="shared" ca="1" si="19"/>
        <v>126</v>
      </c>
      <c r="M359" s="166"/>
      <c r="N359" s="144"/>
      <c r="O359" s="145">
        <f t="shared" si="20"/>
        <v>0</v>
      </c>
      <c r="P359" s="168" t="e">
        <f>IF(N359="PRIMERA",
   VLOOKUP(O359,MAESTRO!M:O,2,FALSE),
   VLOOKUP(O359,MAESTRO!M:O,3,FALSE)
)</f>
        <v>#N/A</v>
      </c>
      <c r="Q359" s="148"/>
      <c r="R359" s="148" t="e">
        <f>VLOOKUP(Q359,MAESTRO!$P$5:$Q$8,2,FALSE)</f>
        <v>#N/A</v>
      </c>
      <c r="S359" s="149" t="str">
        <f t="shared" si="14"/>
        <v>NO ES TITULAR</v>
      </c>
      <c r="T359" s="154" t="str">
        <f t="shared" si="15"/>
        <v>NO ES TITULAR</v>
      </c>
      <c r="U359" s="157"/>
      <c r="V359" s="155"/>
      <c r="W359" s="140"/>
    </row>
    <row r="360" spans="1:23" ht="15.75" customHeight="1">
      <c r="A360" s="148"/>
      <c r="B360" s="148"/>
      <c r="C360" s="158" t="e">
        <f>VLOOKUP(B360,MAESTRO!$D$4:$E$10,2,FALSE)</f>
        <v>#N/A</v>
      </c>
      <c r="D360" s="145" t="e">
        <f t="shared" si="21"/>
        <v>#N/A</v>
      </c>
      <c r="E360" s="160"/>
      <c r="F360" s="140"/>
      <c r="G360" s="141" t="e">
        <f>VLOOKUP(F360,MAESTRO!$G$4:$H$14,2,FALSE)</f>
        <v>#N/A</v>
      </c>
      <c r="H360" s="140"/>
      <c r="I360" s="140"/>
      <c r="J360" s="143"/>
      <c r="K360" s="163"/>
      <c r="L360" s="145">
        <f t="shared" ca="1" si="19"/>
        <v>126</v>
      </c>
      <c r="M360" s="166"/>
      <c r="N360" s="144"/>
      <c r="O360" s="145">
        <f t="shared" si="20"/>
        <v>0</v>
      </c>
      <c r="P360" s="168" t="e">
        <f>IF(N360="PRIMERA",
   VLOOKUP(O360,MAESTRO!M:O,2,FALSE),
   VLOOKUP(O360,MAESTRO!M:O,3,FALSE)
)</f>
        <v>#N/A</v>
      </c>
      <c r="Q360" s="148"/>
      <c r="R360" s="148" t="e">
        <f>VLOOKUP(Q360,MAESTRO!$P$5:$Q$8,2,FALSE)</f>
        <v>#N/A</v>
      </c>
      <c r="S360" s="149" t="str">
        <f t="shared" si="14"/>
        <v>NO ES TITULAR</v>
      </c>
      <c r="T360" s="154" t="str">
        <f t="shared" si="15"/>
        <v>NO ES TITULAR</v>
      </c>
      <c r="U360" s="157"/>
      <c r="V360" s="155"/>
      <c r="W360" s="140"/>
    </row>
    <row r="361" spans="1:23" ht="15.75" customHeight="1">
      <c r="A361" s="148"/>
      <c r="B361" s="148"/>
      <c r="C361" s="158" t="e">
        <f>VLOOKUP(B361,MAESTRO!$D$4:$E$10,2,FALSE)</f>
        <v>#N/A</v>
      </c>
      <c r="D361" s="145" t="e">
        <f t="shared" si="21"/>
        <v>#N/A</v>
      </c>
      <c r="E361" s="160"/>
      <c r="F361" s="140"/>
      <c r="G361" s="141" t="e">
        <f>VLOOKUP(F361,MAESTRO!$G$4:$H$14,2,FALSE)</f>
        <v>#N/A</v>
      </c>
      <c r="H361" s="140"/>
      <c r="I361" s="140"/>
      <c r="J361" s="143"/>
      <c r="K361" s="163"/>
      <c r="L361" s="145">
        <f t="shared" ca="1" si="19"/>
        <v>126</v>
      </c>
      <c r="M361" s="166"/>
      <c r="N361" s="144"/>
      <c r="O361" s="145">
        <f t="shared" si="20"/>
        <v>0</v>
      </c>
      <c r="P361" s="168" t="e">
        <f>IF(N361="PRIMERA",
   VLOOKUP(O361,MAESTRO!M:O,2,FALSE),
   VLOOKUP(O361,MAESTRO!M:O,3,FALSE)
)</f>
        <v>#N/A</v>
      </c>
      <c r="Q361" s="148"/>
      <c r="R361" s="148" t="e">
        <f>VLOOKUP(Q361,MAESTRO!$P$5:$Q$8,2,FALSE)</f>
        <v>#N/A</v>
      </c>
      <c r="S361" s="149" t="str">
        <f t="shared" si="14"/>
        <v>NO ES TITULAR</v>
      </c>
      <c r="T361" s="154" t="str">
        <f t="shared" si="15"/>
        <v>NO ES TITULAR</v>
      </c>
      <c r="U361" s="157"/>
      <c r="V361" s="155"/>
      <c r="W361" s="140"/>
    </row>
    <row r="362" spans="1:23" ht="15.75" customHeight="1">
      <c r="A362" s="148"/>
      <c r="B362" s="148"/>
      <c r="C362" s="158" t="e">
        <f>VLOOKUP(B362,MAESTRO!$D$4:$E$10,2,FALSE)</f>
        <v>#N/A</v>
      </c>
      <c r="D362" s="145" t="e">
        <f t="shared" si="21"/>
        <v>#N/A</v>
      </c>
      <c r="E362" s="160"/>
      <c r="F362" s="140"/>
      <c r="G362" s="141" t="e">
        <f>VLOOKUP(F362,MAESTRO!$G$4:$H$14,2,FALSE)</f>
        <v>#N/A</v>
      </c>
      <c r="H362" s="140"/>
      <c r="I362" s="140"/>
      <c r="J362" s="143"/>
      <c r="K362" s="163"/>
      <c r="L362" s="145">
        <f t="shared" ca="1" si="19"/>
        <v>126</v>
      </c>
      <c r="M362" s="166"/>
      <c r="N362" s="144"/>
      <c r="O362" s="145">
        <f t="shared" si="20"/>
        <v>0</v>
      </c>
      <c r="P362" s="168" t="e">
        <f>IF(N362="PRIMERA",
   VLOOKUP(O362,MAESTRO!M:O,2,FALSE),
   VLOOKUP(O362,MAESTRO!M:O,3,FALSE)
)</f>
        <v>#N/A</v>
      </c>
      <c r="Q362" s="148"/>
      <c r="R362" s="148" t="e">
        <f>VLOOKUP(Q362,MAESTRO!$P$5:$Q$8,2,FALSE)</f>
        <v>#N/A</v>
      </c>
      <c r="S362" s="149" t="str">
        <f t="shared" si="14"/>
        <v>NO ES TITULAR</v>
      </c>
      <c r="T362" s="154" t="str">
        <f t="shared" si="15"/>
        <v>NO ES TITULAR</v>
      </c>
      <c r="U362" s="157"/>
      <c r="V362" s="155"/>
      <c r="W362" s="140"/>
    </row>
    <row r="363" spans="1:23" ht="15.75" customHeight="1">
      <c r="A363" s="148"/>
      <c r="B363" s="148"/>
      <c r="C363" s="158" t="e">
        <f>VLOOKUP(B363,MAESTRO!$D$4:$E$10,2,FALSE)</f>
        <v>#N/A</v>
      </c>
      <c r="D363" s="145" t="e">
        <f t="shared" si="21"/>
        <v>#N/A</v>
      </c>
      <c r="E363" s="160"/>
      <c r="F363" s="140"/>
      <c r="G363" s="141" t="e">
        <f>VLOOKUP(F363,MAESTRO!$G$4:$H$14,2,FALSE)</f>
        <v>#N/A</v>
      </c>
      <c r="H363" s="140"/>
      <c r="I363" s="140"/>
      <c r="J363" s="143"/>
      <c r="K363" s="163"/>
      <c r="L363" s="145">
        <f t="shared" ca="1" si="19"/>
        <v>126</v>
      </c>
      <c r="M363" s="166"/>
      <c r="N363" s="144"/>
      <c r="O363" s="145">
        <f t="shared" si="20"/>
        <v>0</v>
      </c>
      <c r="P363" s="168" t="e">
        <f>IF(N363="PRIMERA",
   VLOOKUP(O363,MAESTRO!M:O,2,FALSE),
   VLOOKUP(O363,MAESTRO!M:O,3,FALSE)
)</f>
        <v>#N/A</v>
      </c>
      <c r="Q363" s="148"/>
      <c r="R363" s="148" t="e">
        <f>VLOOKUP(Q363,MAESTRO!$P$5:$Q$8,2,FALSE)</f>
        <v>#N/A</v>
      </c>
      <c r="S363" s="149" t="str">
        <f t="shared" si="14"/>
        <v>NO ES TITULAR</v>
      </c>
      <c r="T363" s="154" t="str">
        <f t="shared" si="15"/>
        <v>NO ES TITULAR</v>
      </c>
      <c r="U363" s="157"/>
      <c r="V363" s="155"/>
      <c r="W363" s="140"/>
    </row>
    <row r="364" spans="1:23" ht="15.75" customHeight="1">
      <c r="A364" s="148"/>
      <c r="B364" s="148"/>
      <c r="C364" s="158" t="e">
        <f>VLOOKUP(B364,MAESTRO!$D$4:$E$10,2,FALSE)</f>
        <v>#N/A</v>
      </c>
      <c r="D364" s="145" t="e">
        <f t="shared" si="21"/>
        <v>#N/A</v>
      </c>
      <c r="E364" s="160"/>
      <c r="F364" s="140"/>
      <c r="G364" s="141" t="e">
        <f>VLOOKUP(F364,MAESTRO!$G$4:$H$14,2,FALSE)</f>
        <v>#N/A</v>
      </c>
      <c r="H364" s="140"/>
      <c r="I364" s="140"/>
      <c r="J364" s="143"/>
      <c r="K364" s="163"/>
      <c r="L364" s="145">
        <f t="shared" ca="1" si="19"/>
        <v>126</v>
      </c>
      <c r="M364" s="166"/>
      <c r="N364" s="144"/>
      <c r="O364" s="145">
        <f t="shared" si="20"/>
        <v>0</v>
      </c>
      <c r="P364" s="168" t="e">
        <f>IF(N364="PRIMERA",
   VLOOKUP(O364,MAESTRO!M:O,2,FALSE),
   VLOOKUP(O364,MAESTRO!M:O,3,FALSE)
)</f>
        <v>#N/A</v>
      </c>
      <c r="Q364" s="148"/>
      <c r="R364" s="148" t="e">
        <f>VLOOKUP(Q364,MAESTRO!$P$5:$Q$8,2,FALSE)</f>
        <v>#N/A</v>
      </c>
      <c r="S364" s="149" t="str">
        <f t="shared" si="14"/>
        <v>NO ES TITULAR</v>
      </c>
      <c r="T364" s="154" t="str">
        <f t="shared" si="15"/>
        <v>NO ES TITULAR</v>
      </c>
      <c r="U364" s="157"/>
      <c r="V364" s="155"/>
      <c r="W364" s="140"/>
    </row>
    <row r="365" spans="1:23" ht="15.75" customHeight="1">
      <c r="A365" s="148"/>
      <c r="B365" s="148"/>
      <c r="C365" s="158" t="e">
        <f>VLOOKUP(B365,MAESTRO!$D$4:$E$10,2,FALSE)</f>
        <v>#N/A</v>
      </c>
      <c r="D365" s="145" t="e">
        <f t="shared" si="21"/>
        <v>#N/A</v>
      </c>
      <c r="E365" s="160"/>
      <c r="F365" s="140"/>
      <c r="G365" s="141" t="e">
        <f>VLOOKUP(F365,MAESTRO!$G$4:$H$14,2,FALSE)</f>
        <v>#N/A</v>
      </c>
      <c r="H365" s="140"/>
      <c r="I365" s="140"/>
      <c r="J365" s="143"/>
      <c r="K365" s="163"/>
      <c r="L365" s="145">
        <f t="shared" ca="1" si="19"/>
        <v>126</v>
      </c>
      <c r="M365" s="166"/>
      <c r="N365" s="144"/>
      <c r="O365" s="145">
        <f t="shared" si="20"/>
        <v>0</v>
      </c>
      <c r="P365" s="168" t="e">
        <f>IF(N365="PRIMERA",
   VLOOKUP(O365,MAESTRO!M:O,2,FALSE),
   VLOOKUP(O365,MAESTRO!M:O,3,FALSE)
)</f>
        <v>#N/A</v>
      </c>
      <c r="Q365" s="148"/>
      <c r="R365" s="148" t="e">
        <f>VLOOKUP(Q365,MAESTRO!$P$5:$Q$8,2,FALSE)</f>
        <v>#N/A</v>
      </c>
      <c r="S365" s="149" t="str">
        <f t="shared" si="14"/>
        <v>NO ES TITULAR</v>
      </c>
      <c r="T365" s="154" t="str">
        <f t="shared" si="15"/>
        <v>NO ES TITULAR</v>
      </c>
      <c r="U365" s="157"/>
      <c r="V365" s="155"/>
      <c r="W365" s="140"/>
    </row>
    <row r="366" spans="1:23" ht="15.75" customHeight="1">
      <c r="A366" s="148"/>
      <c r="B366" s="148"/>
      <c r="C366" s="158" t="e">
        <f>VLOOKUP(B366,MAESTRO!$D$4:$E$10,2,FALSE)</f>
        <v>#N/A</v>
      </c>
      <c r="D366" s="145" t="e">
        <f t="shared" si="21"/>
        <v>#N/A</v>
      </c>
      <c r="E366" s="160"/>
      <c r="F366" s="140"/>
      <c r="G366" s="141" t="e">
        <f>VLOOKUP(F366,MAESTRO!$G$4:$H$14,2,FALSE)</f>
        <v>#N/A</v>
      </c>
      <c r="H366" s="140"/>
      <c r="I366" s="140"/>
      <c r="J366" s="143"/>
      <c r="K366" s="163"/>
      <c r="L366" s="145">
        <f t="shared" ca="1" si="19"/>
        <v>126</v>
      </c>
      <c r="M366" s="166"/>
      <c r="N366" s="144"/>
      <c r="O366" s="145">
        <f t="shared" si="20"/>
        <v>0</v>
      </c>
      <c r="P366" s="168" t="e">
        <f>IF(N366="PRIMERA",
   VLOOKUP(O366,MAESTRO!M:O,2,FALSE),
   VLOOKUP(O366,MAESTRO!M:O,3,FALSE)
)</f>
        <v>#N/A</v>
      </c>
      <c r="Q366" s="148"/>
      <c r="R366" s="148" t="e">
        <f>VLOOKUP(Q366,MAESTRO!$P$5:$Q$8,2,FALSE)</f>
        <v>#N/A</v>
      </c>
      <c r="S366" s="149" t="str">
        <f t="shared" si="14"/>
        <v>NO ES TITULAR</v>
      </c>
      <c r="T366" s="154" t="str">
        <f t="shared" si="15"/>
        <v>NO ES TITULAR</v>
      </c>
      <c r="U366" s="157"/>
      <c r="V366" s="155"/>
      <c r="W366" s="140"/>
    </row>
    <row r="367" spans="1:23" ht="15.75" customHeight="1">
      <c r="A367" s="148"/>
      <c r="B367" s="148"/>
      <c r="C367" s="158" t="e">
        <f>VLOOKUP(B367,MAESTRO!$D$4:$E$10,2,FALSE)</f>
        <v>#N/A</v>
      </c>
      <c r="D367" s="145" t="e">
        <f t="shared" si="21"/>
        <v>#N/A</v>
      </c>
      <c r="E367" s="160"/>
      <c r="F367" s="140"/>
      <c r="G367" s="141" t="e">
        <f>VLOOKUP(F367,MAESTRO!$G$4:$H$14,2,FALSE)</f>
        <v>#N/A</v>
      </c>
      <c r="H367" s="140"/>
      <c r="I367" s="140"/>
      <c r="J367" s="143"/>
      <c r="K367" s="163"/>
      <c r="L367" s="145">
        <f t="shared" ca="1" si="19"/>
        <v>126</v>
      </c>
      <c r="M367" s="166"/>
      <c r="N367" s="144"/>
      <c r="O367" s="145">
        <f t="shared" si="20"/>
        <v>0</v>
      </c>
      <c r="P367" s="168" t="e">
        <f>IF(N367="PRIMERA",
   VLOOKUP(O367,MAESTRO!M:O,2,FALSE),
   VLOOKUP(O367,MAESTRO!M:O,3,FALSE)
)</f>
        <v>#N/A</v>
      </c>
      <c r="Q367" s="148"/>
      <c r="R367" s="148" t="e">
        <f>VLOOKUP(Q367,MAESTRO!$P$5:$Q$8,2,FALSE)</f>
        <v>#N/A</v>
      </c>
      <c r="S367" s="149" t="str">
        <f t="shared" si="14"/>
        <v>NO ES TITULAR</v>
      </c>
      <c r="T367" s="154" t="str">
        <f t="shared" si="15"/>
        <v>NO ES TITULAR</v>
      </c>
      <c r="U367" s="157"/>
      <c r="V367" s="155"/>
      <c r="W367" s="140"/>
    </row>
    <row r="368" spans="1:23" ht="15.75" customHeight="1">
      <c r="A368" s="148"/>
      <c r="B368" s="148"/>
      <c r="C368" s="158" t="e">
        <f>VLOOKUP(B368,MAESTRO!$D$4:$E$10,2,FALSE)</f>
        <v>#N/A</v>
      </c>
      <c r="D368" s="145" t="e">
        <f t="shared" si="21"/>
        <v>#N/A</v>
      </c>
      <c r="E368" s="160"/>
      <c r="F368" s="140"/>
      <c r="G368" s="141" t="e">
        <f>VLOOKUP(F368,MAESTRO!$G$4:$H$14,2,FALSE)</f>
        <v>#N/A</v>
      </c>
      <c r="H368" s="140"/>
      <c r="I368" s="140"/>
      <c r="J368" s="143"/>
      <c r="K368" s="163"/>
      <c r="L368" s="145">
        <f t="shared" ca="1" si="19"/>
        <v>126</v>
      </c>
      <c r="M368" s="166"/>
      <c r="N368" s="144"/>
      <c r="O368" s="145">
        <f t="shared" si="20"/>
        <v>0</v>
      </c>
      <c r="P368" s="168" t="e">
        <f>IF(N368="PRIMERA",
   VLOOKUP(O368,MAESTRO!M:O,2,FALSE),
   VLOOKUP(O368,MAESTRO!M:O,3,FALSE)
)</f>
        <v>#N/A</v>
      </c>
      <c r="Q368" s="148"/>
      <c r="R368" s="148" t="e">
        <f>VLOOKUP(Q368,MAESTRO!$P$5:$Q$8,2,FALSE)</f>
        <v>#N/A</v>
      </c>
      <c r="S368" s="149" t="str">
        <f t="shared" si="14"/>
        <v>NO ES TITULAR</v>
      </c>
      <c r="T368" s="154" t="str">
        <f t="shared" si="15"/>
        <v>NO ES TITULAR</v>
      </c>
      <c r="U368" s="157"/>
      <c r="V368" s="155"/>
      <c r="W368" s="140"/>
    </row>
    <row r="369" spans="1:23" ht="15.75" customHeight="1">
      <c r="A369" s="148"/>
      <c r="B369" s="148"/>
      <c r="C369" s="158" t="e">
        <f>VLOOKUP(B369,MAESTRO!$D$4:$E$10,2,FALSE)</f>
        <v>#N/A</v>
      </c>
      <c r="D369" s="145" t="e">
        <f t="shared" si="21"/>
        <v>#N/A</v>
      </c>
      <c r="E369" s="160"/>
      <c r="F369" s="140"/>
      <c r="G369" s="141" t="e">
        <f>VLOOKUP(F369,MAESTRO!$G$4:$H$14,2,FALSE)</f>
        <v>#N/A</v>
      </c>
      <c r="H369" s="140"/>
      <c r="I369" s="140"/>
      <c r="J369" s="143"/>
      <c r="K369" s="163"/>
      <c r="L369" s="145">
        <f t="shared" ca="1" si="19"/>
        <v>126</v>
      </c>
      <c r="M369" s="166"/>
      <c r="N369" s="144"/>
      <c r="O369" s="145">
        <f t="shared" si="20"/>
        <v>0</v>
      </c>
      <c r="P369" s="168" t="e">
        <f>IF(N369="PRIMERA",
   VLOOKUP(O369,MAESTRO!M:O,2,FALSE),
   VLOOKUP(O369,MAESTRO!M:O,3,FALSE)
)</f>
        <v>#N/A</v>
      </c>
      <c r="Q369" s="148"/>
      <c r="R369" s="148" t="e">
        <f>VLOOKUP(Q369,MAESTRO!$P$5:$Q$8,2,FALSE)</f>
        <v>#N/A</v>
      </c>
      <c r="S369" s="149" t="str">
        <f t="shared" si="14"/>
        <v>NO ES TITULAR</v>
      </c>
      <c r="T369" s="154" t="str">
        <f t="shared" si="15"/>
        <v>NO ES TITULAR</v>
      </c>
      <c r="U369" s="157"/>
      <c r="V369" s="155"/>
      <c r="W369" s="140"/>
    </row>
    <row r="370" spans="1:23" ht="15.75" customHeight="1">
      <c r="A370" s="148"/>
      <c r="B370" s="148"/>
      <c r="C370" s="158" t="e">
        <f>VLOOKUP(B370,MAESTRO!$D$4:$E$10,2,FALSE)</f>
        <v>#N/A</v>
      </c>
      <c r="D370" s="145" t="e">
        <f t="shared" si="21"/>
        <v>#N/A</v>
      </c>
      <c r="E370" s="160"/>
      <c r="F370" s="140"/>
      <c r="G370" s="141" t="e">
        <f>VLOOKUP(F370,MAESTRO!$G$4:$H$14,2,FALSE)</f>
        <v>#N/A</v>
      </c>
      <c r="H370" s="140"/>
      <c r="I370" s="140"/>
      <c r="J370" s="143"/>
      <c r="K370" s="163"/>
      <c r="L370" s="145">
        <f t="shared" ca="1" si="19"/>
        <v>126</v>
      </c>
      <c r="M370" s="166"/>
      <c r="N370" s="144"/>
      <c r="O370" s="145">
        <f t="shared" si="20"/>
        <v>0</v>
      </c>
      <c r="P370" s="168" t="e">
        <f>IF(N370="PRIMERA",
   VLOOKUP(O370,MAESTRO!M:O,2,FALSE),
   VLOOKUP(O370,MAESTRO!M:O,3,FALSE)
)</f>
        <v>#N/A</v>
      </c>
      <c r="Q370" s="148"/>
      <c r="R370" s="148" t="e">
        <f>VLOOKUP(Q370,MAESTRO!$P$5:$Q$8,2,FALSE)</f>
        <v>#N/A</v>
      </c>
      <c r="S370" s="149" t="str">
        <f t="shared" si="14"/>
        <v>NO ES TITULAR</v>
      </c>
      <c r="T370" s="154" t="str">
        <f t="shared" si="15"/>
        <v>NO ES TITULAR</v>
      </c>
      <c r="U370" s="157"/>
      <c r="V370" s="155"/>
      <c r="W370" s="140"/>
    </row>
    <row r="371" spans="1:23" ht="15.75" customHeight="1">
      <c r="A371" s="148"/>
      <c r="B371" s="148"/>
      <c r="C371" s="158" t="e">
        <f>VLOOKUP(B371,MAESTRO!$D$4:$E$10,2,FALSE)</f>
        <v>#N/A</v>
      </c>
      <c r="D371" s="145" t="e">
        <f t="shared" si="21"/>
        <v>#N/A</v>
      </c>
      <c r="E371" s="160"/>
      <c r="F371" s="140"/>
      <c r="G371" s="141" t="e">
        <f>VLOOKUP(F371,MAESTRO!$G$4:$H$14,2,FALSE)</f>
        <v>#N/A</v>
      </c>
      <c r="H371" s="140"/>
      <c r="I371" s="140"/>
      <c r="J371" s="143"/>
      <c r="K371" s="163"/>
      <c r="L371" s="145">
        <f t="shared" ca="1" si="19"/>
        <v>126</v>
      </c>
      <c r="M371" s="166"/>
      <c r="N371" s="144"/>
      <c r="O371" s="145">
        <f t="shared" si="20"/>
        <v>0</v>
      </c>
      <c r="P371" s="168" t="e">
        <f>IF(N371="PRIMERA",
   VLOOKUP(O371,MAESTRO!M:O,2,FALSE),
   VLOOKUP(O371,MAESTRO!M:O,3,FALSE)
)</f>
        <v>#N/A</v>
      </c>
      <c r="Q371" s="148"/>
      <c r="R371" s="148" t="e">
        <f>VLOOKUP(Q371,MAESTRO!$P$5:$Q$8,2,FALSE)</f>
        <v>#N/A</v>
      </c>
      <c r="S371" s="149" t="str">
        <f t="shared" si="14"/>
        <v>NO ES TITULAR</v>
      </c>
      <c r="T371" s="154" t="str">
        <f t="shared" si="15"/>
        <v>NO ES TITULAR</v>
      </c>
      <c r="U371" s="157"/>
      <c r="V371" s="155"/>
      <c r="W371" s="140"/>
    </row>
    <row r="372" spans="1:23" ht="15.75" customHeight="1">
      <c r="A372" s="148"/>
      <c r="B372" s="148"/>
      <c r="C372" s="158" t="e">
        <f>VLOOKUP(B372,MAESTRO!$D$4:$E$10,2,FALSE)</f>
        <v>#N/A</v>
      </c>
      <c r="D372" s="145" t="e">
        <f t="shared" si="21"/>
        <v>#N/A</v>
      </c>
      <c r="E372" s="160"/>
      <c r="F372" s="140"/>
      <c r="G372" s="141" t="e">
        <f>VLOOKUP(F372,MAESTRO!$G$4:$H$14,2,FALSE)</f>
        <v>#N/A</v>
      </c>
      <c r="H372" s="140"/>
      <c r="I372" s="140"/>
      <c r="J372" s="143"/>
      <c r="K372" s="163"/>
      <c r="L372" s="145">
        <f t="shared" ca="1" si="19"/>
        <v>126</v>
      </c>
      <c r="M372" s="166"/>
      <c r="N372" s="144"/>
      <c r="O372" s="145">
        <f t="shared" si="20"/>
        <v>0</v>
      </c>
      <c r="P372" s="168" t="e">
        <f>IF(N372="PRIMERA",
   VLOOKUP(O372,MAESTRO!M:O,2,FALSE),
   VLOOKUP(O372,MAESTRO!M:O,3,FALSE)
)</f>
        <v>#N/A</v>
      </c>
      <c r="Q372" s="148"/>
      <c r="R372" s="148" t="e">
        <f>VLOOKUP(Q372,MAESTRO!$P$5:$Q$8,2,FALSE)</f>
        <v>#N/A</v>
      </c>
      <c r="S372" s="149" t="str">
        <f t="shared" si="14"/>
        <v>NO ES TITULAR</v>
      </c>
      <c r="T372" s="154" t="str">
        <f t="shared" si="15"/>
        <v>NO ES TITULAR</v>
      </c>
      <c r="U372" s="157"/>
      <c r="V372" s="155"/>
      <c r="W372" s="140"/>
    </row>
    <row r="373" spans="1:23" ht="15.75" customHeight="1">
      <c r="A373" s="148"/>
      <c r="B373" s="148"/>
      <c r="C373" s="158" t="e">
        <f>VLOOKUP(B373,MAESTRO!$D$4:$E$10,2,FALSE)</f>
        <v>#N/A</v>
      </c>
      <c r="D373" s="145" t="e">
        <f t="shared" si="21"/>
        <v>#N/A</v>
      </c>
      <c r="E373" s="160"/>
      <c r="F373" s="140"/>
      <c r="G373" s="141" t="e">
        <f>VLOOKUP(F373,MAESTRO!$G$4:$H$14,2,FALSE)</f>
        <v>#N/A</v>
      </c>
      <c r="H373" s="140"/>
      <c r="I373" s="140"/>
      <c r="J373" s="143"/>
      <c r="K373" s="163"/>
      <c r="L373" s="145">
        <f t="shared" ca="1" si="19"/>
        <v>126</v>
      </c>
      <c r="M373" s="166"/>
      <c r="N373" s="144"/>
      <c r="O373" s="145">
        <f t="shared" si="20"/>
        <v>0</v>
      </c>
      <c r="P373" s="168" t="e">
        <f>IF(N373="PRIMERA",
   VLOOKUP(O373,MAESTRO!M:O,2,FALSE),
   VLOOKUP(O373,MAESTRO!M:O,3,FALSE)
)</f>
        <v>#N/A</v>
      </c>
      <c r="Q373" s="148"/>
      <c r="R373" s="148" t="e">
        <f>VLOOKUP(Q373,MAESTRO!$P$5:$Q$8,2,FALSE)</f>
        <v>#N/A</v>
      </c>
      <c r="S373" s="149" t="str">
        <f t="shared" si="14"/>
        <v>NO ES TITULAR</v>
      </c>
      <c r="T373" s="154" t="str">
        <f t="shared" si="15"/>
        <v>NO ES TITULAR</v>
      </c>
      <c r="U373" s="157"/>
      <c r="V373" s="155"/>
      <c r="W373" s="140"/>
    </row>
    <row r="374" spans="1:23" ht="15.75" customHeight="1">
      <c r="A374" s="148"/>
      <c r="B374" s="148"/>
      <c r="C374" s="158" t="e">
        <f>VLOOKUP(B374,MAESTRO!$D$4:$E$10,2,FALSE)</f>
        <v>#N/A</v>
      </c>
      <c r="D374" s="145" t="e">
        <f t="shared" si="21"/>
        <v>#N/A</v>
      </c>
      <c r="E374" s="160"/>
      <c r="F374" s="140"/>
      <c r="G374" s="141" t="e">
        <f>VLOOKUP(F374,MAESTRO!$G$4:$H$14,2,FALSE)</f>
        <v>#N/A</v>
      </c>
      <c r="H374" s="140"/>
      <c r="I374" s="140"/>
      <c r="J374" s="143"/>
      <c r="K374" s="163"/>
      <c r="L374" s="145">
        <f t="shared" ca="1" si="19"/>
        <v>126</v>
      </c>
      <c r="M374" s="166"/>
      <c r="N374" s="144"/>
      <c r="O374" s="145">
        <f t="shared" si="20"/>
        <v>0</v>
      </c>
      <c r="P374" s="168" t="e">
        <f>IF(N374="PRIMERA",
   VLOOKUP(O374,MAESTRO!M:O,2,FALSE),
   VLOOKUP(O374,MAESTRO!M:O,3,FALSE)
)</f>
        <v>#N/A</v>
      </c>
      <c r="Q374" s="148"/>
      <c r="R374" s="148" t="e">
        <f>VLOOKUP(Q374,MAESTRO!$P$5:$Q$8,2,FALSE)</f>
        <v>#N/A</v>
      </c>
      <c r="S374" s="149" t="str">
        <f t="shared" si="14"/>
        <v>NO ES TITULAR</v>
      </c>
      <c r="T374" s="154" t="str">
        <f t="shared" si="15"/>
        <v>NO ES TITULAR</v>
      </c>
      <c r="U374" s="157"/>
      <c r="V374" s="155"/>
      <c r="W374" s="140"/>
    </row>
    <row r="375" spans="1:23" ht="15.75" customHeight="1">
      <c r="A375" s="148"/>
      <c r="B375" s="148"/>
      <c r="C375" s="158" t="e">
        <f>VLOOKUP(B375,MAESTRO!$D$4:$E$10,2,FALSE)</f>
        <v>#N/A</v>
      </c>
      <c r="D375" s="145" t="e">
        <f t="shared" si="21"/>
        <v>#N/A</v>
      </c>
      <c r="E375" s="160"/>
      <c r="F375" s="140"/>
      <c r="G375" s="141" t="e">
        <f>VLOOKUP(F375,MAESTRO!$G$4:$H$14,2,FALSE)</f>
        <v>#N/A</v>
      </c>
      <c r="H375" s="140"/>
      <c r="I375" s="140"/>
      <c r="J375" s="143"/>
      <c r="K375" s="163"/>
      <c r="L375" s="145">
        <f t="shared" ca="1" si="19"/>
        <v>126</v>
      </c>
      <c r="M375" s="166"/>
      <c r="N375" s="144"/>
      <c r="O375" s="145">
        <f t="shared" si="20"/>
        <v>0</v>
      </c>
      <c r="P375" s="168" t="e">
        <f>IF(N375="PRIMERA",
   VLOOKUP(O375,MAESTRO!M:O,2,FALSE),
   VLOOKUP(O375,MAESTRO!M:O,3,FALSE)
)</f>
        <v>#N/A</v>
      </c>
      <c r="Q375" s="148"/>
      <c r="R375" s="148" t="e">
        <f>VLOOKUP(Q375,MAESTRO!$P$5:$Q$8,2,FALSE)</f>
        <v>#N/A</v>
      </c>
      <c r="S375" s="149" t="str">
        <f t="shared" si="14"/>
        <v>NO ES TITULAR</v>
      </c>
      <c r="T375" s="154" t="str">
        <f t="shared" si="15"/>
        <v>NO ES TITULAR</v>
      </c>
      <c r="U375" s="157"/>
      <c r="V375" s="155"/>
      <c r="W375" s="140"/>
    </row>
    <row r="376" spans="1:23" ht="15.75" customHeight="1">
      <c r="A376" s="148"/>
      <c r="B376" s="148"/>
      <c r="C376" s="158" t="e">
        <f>VLOOKUP(B376,MAESTRO!$D$4:$E$10,2,FALSE)</f>
        <v>#N/A</v>
      </c>
      <c r="D376" s="145" t="e">
        <f t="shared" si="21"/>
        <v>#N/A</v>
      </c>
      <c r="E376" s="160"/>
      <c r="F376" s="140"/>
      <c r="G376" s="141" t="e">
        <f>VLOOKUP(F376,MAESTRO!$G$4:$H$14,2,FALSE)</f>
        <v>#N/A</v>
      </c>
      <c r="H376" s="140"/>
      <c r="I376" s="140"/>
      <c r="J376" s="143"/>
      <c r="K376" s="163"/>
      <c r="L376" s="145">
        <f t="shared" ca="1" si="19"/>
        <v>126</v>
      </c>
      <c r="M376" s="166"/>
      <c r="N376" s="144"/>
      <c r="O376" s="145">
        <f t="shared" si="20"/>
        <v>0</v>
      </c>
      <c r="P376" s="168" t="e">
        <f>IF(N376="PRIMERA",
   VLOOKUP(O376,MAESTRO!M:O,2,FALSE),
   VLOOKUP(O376,MAESTRO!M:O,3,FALSE)
)</f>
        <v>#N/A</v>
      </c>
      <c r="Q376" s="148"/>
      <c r="R376" s="148" t="e">
        <f>VLOOKUP(Q376,MAESTRO!$P$5:$Q$8,2,FALSE)</f>
        <v>#N/A</v>
      </c>
      <c r="S376" s="149" t="str">
        <f t="shared" si="14"/>
        <v>NO ES TITULAR</v>
      </c>
      <c r="T376" s="154" t="str">
        <f t="shared" si="15"/>
        <v>NO ES TITULAR</v>
      </c>
      <c r="U376" s="157"/>
      <c r="V376" s="155"/>
      <c r="W376" s="140"/>
    </row>
    <row r="377" spans="1:23" ht="15.75" customHeight="1">
      <c r="A377" s="148"/>
      <c r="B377" s="148"/>
      <c r="C377" s="158" t="e">
        <f>VLOOKUP(B377,MAESTRO!$D$4:$E$10,2,FALSE)</f>
        <v>#N/A</v>
      </c>
      <c r="D377" s="145" t="e">
        <f t="shared" si="21"/>
        <v>#N/A</v>
      </c>
      <c r="E377" s="160"/>
      <c r="F377" s="140"/>
      <c r="G377" s="141" t="e">
        <f>VLOOKUP(F377,MAESTRO!$G$4:$H$14,2,FALSE)</f>
        <v>#N/A</v>
      </c>
      <c r="H377" s="140"/>
      <c r="I377" s="140"/>
      <c r="J377" s="143"/>
      <c r="K377" s="163"/>
      <c r="L377" s="145">
        <f t="shared" ca="1" si="19"/>
        <v>126</v>
      </c>
      <c r="M377" s="166"/>
      <c r="N377" s="144"/>
      <c r="O377" s="145">
        <f t="shared" si="20"/>
        <v>0</v>
      </c>
      <c r="P377" s="168" t="e">
        <f>IF(N377="PRIMERA",
   VLOOKUP(O377,MAESTRO!M:O,2,FALSE),
   VLOOKUP(O377,MAESTRO!M:O,3,FALSE)
)</f>
        <v>#N/A</v>
      </c>
      <c r="Q377" s="148"/>
      <c r="R377" s="148" t="e">
        <f>VLOOKUP(Q377,MAESTRO!$P$5:$Q$8,2,FALSE)</f>
        <v>#N/A</v>
      </c>
      <c r="S377" s="149" t="str">
        <f t="shared" si="14"/>
        <v>NO ES TITULAR</v>
      </c>
      <c r="T377" s="154" t="str">
        <f t="shared" si="15"/>
        <v>NO ES TITULAR</v>
      </c>
      <c r="U377" s="157"/>
      <c r="V377" s="155"/>
      <c r="W377" s="140"/>
    </row>
    <row r="378" spans="1:23" ht="15.75" customHeight="1">
      <c r="A378" s="148"/>
      <c r="B378" s="148"/>
      <c r="C378" s="158" t="e">
        <f>VLOOKUP(B378,MAESTRO!$D$4:$E$10,2,FALSE)</f>
        <v>#N/A</v>
      </c>
      <c r="D378" s="145" t="e">
        <f t="shared" si="21"/>
        <v>#N/A</v>
      </c>
      <c r="E378" s="160"/>
      <c r="F378" s="140"/>
      <c r="G378" s="141" t="e">
        <f>VLOOKUP(F378,MAESTRO!$G$4:$H$14,2,FALSE)</f>
        <v>#N/A</v>
      </c>
      <c r="H378" s="140"/>
      <c r="I378" s="140"/>
      <c r="J378" s="143"/>
      <c r="K378" s="163"/>
      <c r="L378" s="145">
        <f t="shared" ca="1" si="19"/>
        <v>126</v>
      </c>
      <c r="M378" s="166"/>
      <c r="N378" s="144"/>
      <c r="O378" s="145">
        <f t="shared" si="20"/>
        <v>0</v>
      </c>
      <c r="P378" s="168" t="e">
        <f>IF(N378="PRIMERA",
   VLOOKUP(O378,MAESTRO!M:O,2,FALSE),
   VLOOKUP(O378,MAESTRO!M:O,3,FALSE)
)</f>
        <v>#N/A</v>
      </c>
      <c r="Q378" s="148"/>
      <c r="R378" s="148" t="e">
        <f>VLOOKUP(Q378,MAESTRO!$P$5:$Q$8,2,FALSE)</f>
        <v>#N/A</v>
      </c>
      <c r="S378" s="149" t="str">
        <f t="shared" si="14"/>
        <v>NO ES TITULAR</v>
      </c>
      <c r="T378" s="154" t="str">
        <f t="shared" si="15"/>
        <v>NO ES TITULAR</v>
      </c>
      <c r="U378" s="157"/>
      <c r="V378" s="155"/>
      <c r="W378" s="140"/>
    </row>
    <row r="379" spans="1:23" ht="15.75" customHeight="1">
      <c r="A379" s="148"/>
      <c r="B379" s="148"/>
      <c r="C379" s="158" t="e">
        <f>VLOOKUP(B379,MAESTRO!$D$4:$E$10,2,FALSE)</f>
        <v>#N/A</v>
      </c>
      <c r="D379" s="145" t="e">
        <f t="shared" si="21"/>
        <v>#N/A</v>
      </c>
      <c r="E379" s="160"/>
      <c r="F379" s="140"/>
      <c r="G379" s="141" t="e">
        <f>VLOOKUP(F379,MAESTRO!$G$4:$H$14,2,FALSE)</f>
        <v>#N/A</v>
      </c>
      <c r="H379" s="140"/>
      <c r="I379" s="140"/>
      <c r="J379" s="143"/>
      <c r="K379" s="163"/>
      <c r="L379" s="145">
        <f t="shared" ca="1" si="19"/>
        <v>126</v>
      </c>
      <c r="M379" s="166"/>
      <c r="N379" s="144"/>
      <c r="O379" s="145">
        <f t="shared" si="20"/>
        <v>0</v>
      </c>
      <c r="P379" s="168" t="e">
        <f>IF(N379="PRIMERA",
   VLOOKUP(O379,MAESTRO!M:O,2,FALSE),
   VLOOKUP(O379,MAESTRO!M:O,3,FALSE)
)</f>
        <v>#N/A</v>
      </c>
      <c r="Q379" s="148"/>
      <c r="R379" s="148" t="e">
        <f>VLOOKUP(Q379,MAESTRO!$P$5:$Q$8,2,FALSE)</f>
        <v>#N/A</v>
      </c>
      <c r="S379" s="149" t="str">
        <f t="shared" si="14"/>
        <v>NO ES TITULAR</v>
      </c>
      <c r="T379" s="154" t="str">
        <f t="shared" si="15"/>
        <v>NO ES TITULAR</v>
      </c>
      <c r="U379" s="157"/>
      <c r="V379" s="155"/>
      <c r="W379" s="140"/>
    </row>
    <row r="380" spans="1:23" ht="15.75" customHeight="1">
      <c r="A380" s="148"/>
      <c r="B380" s="148"/>
      <c r="C380" s="158" t="e">
        <f>VLOOKUP(B380,MAESTRO!$D$4:$E$10,2,FALSE)</f>
        <v>#N/A</v>
      </c>
      <c r="D380" s="145" t="e">
        <f t="shared" si="21"/>
        <v>#N/A</v>
      </c>
      <c r="E380" s="160"/>
      <c r="F380" s="140"/>
      <c r="G380" s="141" t="e">
        <f>VLOOKUP(F380,MAESTRO!$G$4:$H$14,2,FALSE)</f>
        <v>#N/A</v>
      </c>
      <c r="H380" s="140"/>
      <c r="I380" s="140"/>
      <c r="J380" s="143"/>
      <c r="K380" s="163"/>
      <c r="L380" s="145">
        <f t="shared" ca="1" si="19"/>
        <v>126</v>
      </c>
      <c r="M380" s="166"/>
      <c r="N380" s="144"/>
      <c r="O380" s="145">
        <f t="shared" si="20"/>
        <v>0</v>
      </c>
      <c r="P380" s="168" t="e">
        <f>IF(N380="PRIMERA",
   VLOOKUP(O380,MAESTRO!M:O,2,FALSE),
   VLOOKUP(O380,MAESTRO!M:O,3,FALSE)
)</f>
        <v>#N/A</v>
      </c>
      <c r="Q380" s="148"/>
      <c r="R380" s="148" t="e">
        <f>VLOOKUP(Q380,MAESTRO!$P$5:$Q$8,2,FALSE)</f>
        <v>#N/A</v>
      </c>
      <c r="S380" s="149" t="str">
        <f t="shared" si="14"/>
        <v>NO ES TITULAR</v>
      </c>
      <c r="T380" s="154" t="str">
        <f t="shared" si="15"/>
        <v>NO ES TITULAR</v>
      </c>
      <c r="U380" s="157"/>
      <c r="V380" s="155"/>
      <c r="W380" s="140"/>
    </row>
    <row r="381" spans="1:23" ht="15.75" customHeight="1">
      <c r="A381" s="148"/>
      <c r="B381" s="148"/>
      <c r="C381" s="158" t="e">
        <f>VLOOKUP(B381,MAESTRO!$D$4:$E$10,2,FALSE)</f>
        <v>#N/A</v>
      </c>
      <c r="D381" s="145" t="e">
        <f t="shared" si="21"/>
        <v>#N/A</v>
      </c>
      <c r="E381" s="160"/>
      <c r="F381" s="140"/>
      <c r="G381" s="141" t="e">
        <f>VLOOKUP(F381,MAESTRO!$G$4:$H$14,2,FALSE)</f>
        <v>#N/A</v>
      </c>
      <c r="H381" s="140"/>
      <c r="I381" s="140"/>
      <c r="J381" s="143"/>
      <c r="K381" s="163"/>
      <c r="L381" s="145">
        <f t="shared" ca="1" si="19"/>
        <v>126</v>
      </c>
      <c r="M381" s="166"/>
      <c r="N381" s="144"/>
      <c r="O381" s="145">
        <f t="shared" si="20"/>
        <v>0</v>
      </c>
      <c r="P381" s="168" t="e">
        <f>IF(N381="PRIMERA",
   VLOOKUP(O381,MAESTRO!M:O,2,FALSE),
   VLOOKUP(O381,MAESTRO!M:O,3,FALSE)
)</f>
        <v>#N/A</v>
      </c>
      <c r="Q381" s="148"/>
      <c r="R381" s="148" t="e">
        <f>VLOOKUP(Q381,MAESTRO!$P$5:$Q$8,2,FALSE)</f>
        <v>#N/A</v>
      </c>
      <c r="S381" s="149" t="str">
        <f t="shared" si="14"/>
        <v>NO ES TITULAR</v>
      </c>
      <c r="T381" s="154" t="str">
        <f t="shared" si="15"/>
        <v>NO ES TITULAR</v>
      </c>
      <c r="U381" s="157"/>
      <c r="V381" s="155"/>
      <c r="W381" s="140"/>
    </row>
    <row r="382" spans="1:23" ht="15.75" customHeight="1">
      <c r="A382" s="148"/>
      <c r="B382" s="148"/>
      <c r="C382" s="158" t="e">
        <f>VLOOKUP(B382,MAESTRO!$D$4:$E$10,2,FALSE)</f>
        <v>#N/A</v>
      </c>
      <c r="D382" s="145" t="e">
        <f t="shared" si="21"/>
        <v>#N/A</v>
      </c>
      <c r="E382" s="160"/>
      <c r="F382" s="140"/>
      <c r="G382" s="141" t="e">
        <f>VLOOKUP(F382,MAESTRO!$G$4:$H$14,2,FALSE)</f>
        <v>#N/A</v>
      </c>
      <c r="H382" s="140"/>
      <c r="I382" s="140"/>
      <c r="J382" s="143"/>
      <c r="K382" s="163"/>
      <c r="L382" s="145">
        <f t="shared" ca="1" si="19"/>
        <v>126</v>
      </c>
      <c r="M382" s="166"/>
      <c r="N382" s="144"/>
      <c r="O382" s="145">
        <f t="shared" si="20"/>
        <v>0</v>
      </c>
      <c r="P382" s="168" t="e">
        <f>IF(N382="PRIMERA",
   VLOOKUP(O382,MAESTRO!M:O,2,FALSE),
   VLOOKUP(O382,MAESTRO!M:O,3,FALSE)
)</f>
        <v>#N/A</v>
      </c>
      <c r="Q382" s="148"/>
      <c r="R382" s="148" t="e">
        <f>VLOOKUP(Q382,MAESTRO!$P$5:$Q$8,2,FALSE)</f>
        <v>#N/A</v>
      </c>
      <c r="S382" s="149" t="str">
        <f t="shared" si="14"/>
        <v>NO ES TITULAR</v>
      </c>
      <c r="T382" s="154" t="str">
        <f t="shared" si="15"/>
        <v>NO ES TITULAR</v>
      </c>
      <c r="U382" s="157"/>
      <c r="V382" s="155"/>
      <c r="W382" s="140"/>
    </row>
    <row r="383" spans="1:23" ht="15.75" customHeight="1">
      <c r="A383" s="148"/>
      <c r="B383" s="148"/>
      <c r="C383" s="158" t="e">
        <f>VLOOKUP(B383,MAESTRO!$D$4:$E$10,2,FALSE)</f>
        <v>#N/A</v>
      </c>
      <c r="D383" s="145" t="e">
        <f t="shared" si="21"/>
        <v>#N/A</v>
      </c>
      <c r="E383" s="160"/>
      <c r="F383" s="140"/>
      <c r="G383" s="141" t="e">
        <f>VLOOKUP(F383,MAESTRO!$G$4:$H$14,2,FALSE)</f>
        <v>#N/A</v>
      </c>
      <c r="H383" s="140"/>
      <c r="I383" s="140"/>
      <c r="J383" s="143"/>
      <c r="K383" s="163"/>
      <c r="L383" s="145">
        <f t="shared" ca="1" si="19"/>
        <v>126</v>
      </c>
      <c r="M383" s="166"/>
      <c r="N383" s="144"/>
      <c r="O383" s="145">
        <f t="shared" si="20"/>
        <v>0</v>
      </c>
      <c r="P383" s="168" t="e">
        <f>IF(N383="PRIMERA",
   VLOOKUP(O383,MAESTRO!M:O,2,FALSE),
   VLOOKUP(O383,MAESTRO!M:O,3,FALSE)
)</f>
        <v>#N/A</v>
      </c>
      <c r="Q383" s="148"/>
      <c r="R383" s="148" t="e">
        <f>VLOOKUP(Q383,MAESTRO!$P$5:$Q$8,2,FALSE)</f>
        <v>#N/A</v>
      </c>
      <c r="S383" s="149" t="str">
        <f t="shared" si="14"/>
        <v>NO ES TITULAR</v>
      </c>
      <c r="T383" s="154" t="str">
        <f t="shared" si="15"/>
        <v>NO ES TITULAR</v>
      </c>
      <c r="U383" s="157"/>
      <c r="V383" s="155"/>
      <c r="W383" s="140"/>
    </row>
    <row r="384" spans="1:23" ht="15.75" customHeight="1">
      <c r="A384" s="148"/>
      <c r="B384" s="148"/>
      <c r="C384" s="158" t="e">
        <f>VLOOKUP(B384,MAESTRO!$D$4:$E$10,2,FALSE)</f>
        <v>#N/A</v>
      </c>
      <c r="D384" s="145" t="e">
        <f t="shared" si="21"/>
        <v>#N/A</v>
      </c>
      <c r="E384" s="160"/>
      <c r="F384" s="140"/>
      <c r="G384" s="141" t="e">
        <f>VLOOKUP(F384,MAESTRO!$G$4:$H$14,2,FALSE)</f>
        <v>#N/A</v>
      </c>
      <c r="H384" s="140"/>
      <c r="I384" s="140"/>
      <c r="J384" s="143"/>
      <c r="K384" s="163"/>
      <c r="L384" s="145">
        <f t="shared" ca="1" si="19"/>
        <v>126</v>
      </c>
      <c r="M384" s="166"/>
      <c r="N384" s="144"/>
      <c r="O384" s="145">
        <f t="shared" si="20"/>
        <v>0</v>
      </c>
      <c r="P384" s="168" t="e">
        <f>IF(N384="PRIMERA",
   VLOOKUP(O384,MAESTRO!M:O,2,FALSE),
   VLOOKUP(O384,MAESTRO!M:O,3,FALSE)
)</f>
        <v>#N/A</v>
      </c>
      <c r="Q384" s="148"/>
      <c r="R384" s="148" t="e">
        <f>VLOOKUP(Q384,MAESTRO!$P$5:$Q$8,2,FALSE)</f>
        <v>#N/A</v>
      </c>
      <c r="S384" s="149" t="str">
        <f t="shared" si="14"/>
        <v>NO ES TITULAR</v>
      </c>
      <c r="T384" s="154" t="str">
        <f t="shared" si="15"/>
        <v>NO ES TITULAR</v>
      </c>
      <c r="U384" s="157"/>
      <c r="V384" s="155"/>
      <c r="W384" s="140"/>
    </row>
    <row r="385" spans="1:23" ht="15.75" customHeight="1">
      <c r="A385" s="148"/>
      <c r="B385" s="148"/>
      <c r="C385" s="158" t="e">
        <f>VLOOKUP(B385,MAESTRO!$D$4:$E$10,2,FALSE)</f>
        <v>#N/A</v>
      </c>
      <c r="D385" s="145" t="e">
        <f t="shared" si="21"/>
        <v>#N/A</v>
      </c>
      <c r="E385" s="160"/>
      <c r="F385" s="140"/>
      <c r="G385" s="141" t="e">
        <f>VLOOKUP(F385,MAESTRO!$G$4:$H$14,2,FALSE)</f>
        <v>#N/A</v>
      </c>
      <c r="H385" s="140"/>
      <c r="I385" s="140"/>
      <c r="J385" s="143"/>
      <c r="K385" s="163"/>
      <c r="L385" s="145">
        <f t="shared" ca="1" si="19"/>
        <v>126</v>
      </c>
      <c r="M385" s="166"/>
      <c r="N385" s="144"/>
      <c r="O385" s="145">
        <f t="shared" si="20"/>
        <v>0</v>
      </c>
      <c r="P385" s="168" t="e">
        <f>IF(N385="PRIMERA",
   VLOOKUP(O385,MAESTRO!M:O,2,FALSE),
   VLOOKUP(O385,MAESTRO!M:O,3,FALSE)
)</f>
        <v>#N/A</v>
      </c>
      <c r="Q385" s="148"/>
      <c r="R385" s="148" t="e">
        <f>VLOOKUP(Q385,MAESTRO!$P$5:$Q$8,2,FALSE)</f>
        <v>#N/A</v>
      </c>
      <c r="S385" s="149" t="str">
        <f t="shared" si="14"/>
        <v>NO ES TITULAR</v>
      </c>
      <c r="T385" s="154" t="str">
        <f t="shared" si="15"/>
        <v>NO ES TITULAR</v>
      </c>
      <c r="U385" s="157"/>
      <c r="V385" s="155"/>
      <c r="W385" s="140"/>
    </row>
    <row r="386" spans="1:23" ht="15.75" customHeight="1">
      <c r="A386" s="148"/>
      <c r="B386" s="148"/>
      <c r="C386" s="158" t="e">
        <f>VLOOKUP(B386,MAESTRO!$D$4:$E$10,2,FALSE)</f>
        <v>#N/A</v>
      </c>
      <c r="D386" s="145" t="e">
        <f t="shared" si="21"/>
        <v>#N/A</v>
      </c>
      <c r="E386" s="160"/>
      <c r="F386" s="140"/>
      <c r="G386" s="141" t="e">
        <f>VLOOKUP(F386,MAESTRO!$G$4:$H$14,2,FALSE)</f>
        <v>#N/A</v>
      </c>
      <c r="H386" s="140"/>
      <c r="I386" s="140"/>
      <c r="J386" s="143"/>
      <c r="K386" s="163"/>
      <c r="L386" s="145">
        <f t="shared" ref="L386:L411" ca="1" si="22">DATEDIF(K386,TODAY(),"Y")</f>
        <v>126</v>
      </c>
      <c r="M386" s="166"/>
      <c r="N386" s="144"/>
      <c r="O386" s="145">
        <f t="shared" si="20"/>
        <v>0</v>
      </c>
      <c r="P386" s="168" t="e">
        <f>IF(N386="PRIMERA",
   VLOOKUP(O386,MAESTRO!M:O,2,FALSE),
   VLOOKUP(O386,MAESTRO!M:O,3,FALSE)
)</f>
        <v>#N/A</v>
      </c>
      <c r="Q386" s="148"/>
      <c r="R386" s="148" t="e">
        <f>VLOOKUP(Q386,MAESTRO!$P$5:$Q$8,2,FALSE)</f>
        <v>#N/A</v>
      </c>
      <c r="S386" s="149" t="str">
        <f t="shared" si="14"/>
        <v>NO ES TITULAR</v>
      </c>
      <c r="T386" s="154" t="str">
        <f t="shared" si="15"/>
        <v>NO ES TITULAR</v>
      </c>
      <c r="U386" s="157"/>
      <c r="V386" s="155"/>
      <c r="W386" s="140"/>
    </row>
    <row r="387" spans="1:23" ht="15.75" customHeight="1">
      <c r="A387" s="148"/>
      <c r="B387" s="148"/>
      <c r="C387" s="158" t="e">
        <f>VLOOKUP(B387,MAESTRO!$D$4:$E$10,2,FALSE)</f>
        <v>#N/A</v>
      </c>
      <c r="D387" s="145" t="e">
        <f t="shared" si="21"/>
        <v>#N/A</v>
      </c>
      <c r="E387" s="160"/>
      <c r="F387" s="140"/>
      <c r="G387" s="141" t="e">
        <f>VLOOKUP(F387,MAESTRO!$G$4:$H$14,2,FALSE)</f>
        <v>#N/A</v>
      </c>
      <c r="H387" s="140"/>
      <c r="I387" s="140"/>
      <c r="J387" s="143"/>
      <c r="K387" s="163"/>
      <c r="L387" s="145">
        <f t="shared" ca="1" si="22"/>
        <v>126</v>
      </c>
      <c r="M387" s="166"/>
      <c r="N387" s="144"/>
      <c r="O387" s="145">
        <f t="shared" ref="O387:O411" si="23">+B387</f>
        <v>0</v>
      </c>
      <c r="P387" s="168" t="e">
        <f>IF(N387="PRIMERA",
   VLOOKUP(O387,MAESTRO!M:O,2,FALSE),
   VLOOKUP(O387,MAESTRO!M:O,3,FALSE)
)</f>
        <v>#N/A</v>
      </c>
      <c r="Q387" s="148"/>
      <c r="R387" s="148" t="e">
        <f>VLOOKUP(Q387,MAESTRO!$P$5:$Q$8,2,FALSE)</f>
        <v>#N/A</v>
      </c>
      <c r="S387" s="149" t="str">
        <f t="shared" si="14"/>
        <v>NO ES TITULAR</v>
      </c>
      <c r="T387" s="154" t="str">
        <f t="shared" si="15"/>
        <v>NO ES TITULAR</v>
      </c>
      <c r="U387" s="157"/>
      <c r="V387" s="155"/>
      <c r="W387" s="140"/>
    </row>
    <row r="388" spans="1:23" ht="15.75" customHeight="1">
      <c r="A388" s="148"/>
      <c r="B388" s="148"/>
      <c r="C388" s="158" t="e">
        <f>VLOOKUP(B388,MAESTRO!$D$4:$E$10,2,FALSE)</f>
        <v>#N/A</v>
      </c>
      <c r="D388" s="145" t="e">
        <f t="shared" ref="D388:D411" si="24">IF(C388&gt;0,1+D387)</f>
        <v>#N/A</v>
      </c>
      <c r="E388" s="160"/>
      <c r="F388" s="140"/>
      <c r="G388" s="141" t="e">
        <f>VLOOKUP(F388,MAESTRO!$G$4:$H$14,2,FALSE)</f>
        <v>#N/A</v>
      </c>
      <c r="H388" s="140"/>
      <c r="I388" s="140"/>
      <c r="J388" s="143"/>
      <c r="K388" s="163"/>
      <c r="L388" s="145">
        <f t="shared" ca="1" si="22"/>
        <v>126</v>
      </c>
      <c r="M388" s="166"/>
      <c r="N388" s="144"/>
      <c r="O388" s="145">
        <f t="shared" si="23"/>
        <v>0</v>
      </c>
      <c r="P388" s="168" t="e">
        <f>IF(N388="PRIMERA",
   VLOOKUP(O388,MAESTRO!M:O,2,FALSE),
   VLOOKUP(O388,MAESTRO!M:O,3,FALSE)
)</f>
        <v>#N/A</v>
      </c>
      <c r="Q388" s="148"/>
      <c r="R388" s="148" t="e">
        <f>VLOOKUP(Q388,MAESTRO!$P$5:$Q$8,2,FALSE)</f>
        <v>#N/A</v>
      </c>
      <c r="S388" s="149" t="str">
        <f t="shared" si="14"/>
        <v>NO ES TITULAR</v>
      </c>
      <c r="T388" s="154" t="str">
        <f t="shared" si="15"/>
        <v>NO ES TITULAR</v>
      </c>
      <c r="U388" s="157"/>
      <c r="V388" s="155"/>
      <c r="W388" s="140"/>
    </row>
    <row r="389" spans="1:23" ht="15.75" customHeight="1">
      <c r="A389" s="148"/>
      <c r="B389" s="148"/>
      <c r="C389" s="158" t="e">
        <f>VLOOKUP(B389,MAESTRO!$D$4:$E$10,2,FALSE)</f>
        <v>#N/A</v>
      </c>
      <c r="D389" s="145" t="e">
        <f t="shared" si="24"/>
        <v>#N/A</v>
      </c>
      <c r="E389" s="160"/>
      <c r="F389" s="140"/>
      <c r="G389" s="141" t="e">
        <f>VLOOKUP(F389,MAESTRO!$G$4:$H$14,2,FALSE)</f>
        <v>#N/A</v>
      </c>
      <c r="H389" s="140"/>
      <c r="I389" s="140"/>
      <c r="J389" s="143"/>
      <c r="K389" s="163"/>
      <c r="L389" s="145">
        <f t="shared" ca="1" si="22"/>
        <v>126</v>
      </c>
      <c r="M389" s="166"/>
      <c r="N389" s="144"/>
      <c r="O389" s="145">
        <f t="shared" si="23"/>
        <v>0</v>
      </c>
      <c r="P389" s="168" t="e">
        <f>IF(N389="PRIMERA",
   VLOOKUP(O389,MAESTRO!M:O,2,FALSE),
   VLOOKUP(O389,MAESTRO!M:O,3,FALSE)
)</f>
        <v>#N/A</v>
      </c>
      <c r="Q389" s="148"/>
      <c r="R389" s="148" t="e">
        <f>VLOOKUP(Q389,MAESTRO!$P$5:$Q$8,2,FALSE)</f>
        <v>#N/A</v>
      </c>
      <c r="S389" s="149" t="str">
        <f t="shared" si="14"/>
        <v>NO ES TITULAR</v>
      </c>
      <c r="T389" s="154" t="str">
        <f t="shared" si="15"/>
        <v>NO ES TITULAR</v>
      </c>
      <c r="U389" s="157"/>
      <c r="V389" s="155"/>
      <c r="W389" s="140"/>
    </row>
    <row r="390" spans="1:23" ht="15.75" customHeight="1">
      <c r="A390" s="148"/>
      <c r="B390" s="148"/>
      <c r="C390" s="158" t="e">
        <f>VLOOKUP(B390,MAESTRO!$D$4:$E$10,2,FALSE)</f>
        <v>#N/A</v>
      </c>
      <c r="D390" s="145" t="e">
        <f t="shared" si="24"/>
        <v>#N/A</v>
      </c>
      <c r="E390" s="160"/>
      <c r="F390" s="140"/>
      <c r="G390" s="141" t="e">
        <f>VLOOKUP(F390,MAESTRO!$G$4:$H$14,2,FALSE)</f>
        <v>#N/A</v>
      </c>
      <c r="H390" s="140"/>
      <c r="I390" s="140"/>
      <c r="J390" s="143"/>
      <c r="K390" s="163"/>
      <c r="L390" s="145">
        <f t="shared" ca="1" si="22"/>
        <v>126</v>
      </c>
      <c r="M390" s="166"/>
      <c r="N390" s="144"/>
      <c r="O390" s="145">
        <f t="shared" si="23"/>
        <v>0</v>
      </c>
      <c r="P390" s="168" t="e">
        <f>IF(N390="PRIMERA",
   VLOOKUP(O390,MAESTRO!M:O,2,FALSE),
   VLOOKUP(O390,MAESTRO!M:O,3,FALSE)
)</f>
        <v>#N/A</v>
      </c>
      <c r="Q390" s="148"/>
      <c r="R390" s="148" t="e">
        <f>VLOOKUP(Q390,MAESTRO!$P$5:$Q$8,2,FALSE)</f>
        <v>#N/A</v>
      </c>
      <c r="S390" s="149" t="str">
        <f t="shared" si="14"/>
        <v>NO ES TITULAR</v>
      </c>
      <c r="T390" s="154" t="str">
        <f t="shared" si="15"/>
        <v>NO ES TITULAR</v>
      </c>
      <c r="U390" s="157"/>
      <c r="V390" s="155"/>
      <c r="W390" s="140"/>
    </row>
    <row r="391" spans="1:23" ht="15.75" customHeight="1">
      <c r="A391" s="148"/>
      <c r="B391" s="148"/>
      <c r="C391" s="158" t="e">
        <f>VLOOKUP(B391,MAESTRO!$D$4:$E$10,2,FALSE)</f>
        <v>#N/A</v>
      </c>
      <c r="D391" s="145" t="e">
        <f t="shared" si="24"/>
        <v>#N/A</v>
      </c>
      <c r="E391" s="160"/>
      <c r="F391" s="140"/>
      <c r="G391" s="141" t="e">
        <f>VLOOKUP(F391,MAESTRO!$G$4:$H$14,2,FALSE)</f>
        <v>#N/A</v>
      </c>
      <c r="H391" s="140"/>
      <c r="I391" s="140"/>
      <c r="J391" s="143"/>
      <c r="K391" s="163"/>
      <c r="L391" s="145">
        <f t="shared" ca="1" si="22"/>
        <v>126</v>
      </c>
      <c r="M391" s="166"/>
      <c r="N391" s="144"/>
      <c r="O391" s="145">
        <f t="shared" si="23"/>
        <v>0</v>
      </c>
      <c r="P391" s="168" t="e">
        <f>IF(N391="PRIMERA",
   VLOOKUP(O391,MAESTRO!M:O,2,FALSE),
   VLOOKUP(O391,MAESTRO!M:O,3,FALSE)
)</f>
        <v>#N/A</v>
      </c>
      <c r="Q391" s="148"/>
      <c r="R391" s="148" t="e">
        <f>VLOOKUP(Q391,MAESTRO!$P$5:$Q$8,2,FALSE)</f>
        <v>#N/A</v>
      </c>
      <c r="S391" s="149" t="str">
        <f t="shared" si="14"/>
        <v>NO ES TITULAR</v>
      </c>
      <c r="T391" s="154" t="str">
        <f t="shared" si="15"/>
        <v>NO ES TITULAR</v>
      </c>
      <c r="U391" s="157"/>
      <c r="V391" s="155"/>
      <c r="W391" s="140"/>
    </row>
    <row r="392" spans="1:23" ht="15.75" customHeight="1">
      <c r="A392" s="148"/>
      <c r="B392" s="148"/>
      <c r="C392" s="158" t="e">
        <f>VLOOKUP(B392,MAESTRO!$D$4:$E$10,2,FALSE)</f>
        <v>#N/A</v>
      </c>
      <c r="D392" s="145" t="e">
        <f t="shared" si="24"/>
        <v>#N/A</v>
      </c>
      <c r="E392" s="160"/>
      <c r="F392" s="140"/>
      <c r="G392" s="141" t="e">
        <f>VLOOKUP(F392,MAESTRO!$G$4:$H$14,2,FALSE)</f>
        <v>#N/A</v>
      </c>
      <c r="H392" s="140"/>
      <c r="I392" s="140"/>
      <c r="J392" s="143"/>
      <c r="K392" s="163"/>
      <c r="L392" s="145">
        <f t="shared" ca="1" si="22"/>
        <v>126</v>
      </c>
      <c r="M392" s="166"/>
      <c r="N392" s="144"/>
      <c r="O392" s="145">
        <f t="shared" si="23"/>
        <v>0</v>
      </c>
      <c r="P392" s="168" t="e">
        <f>IF(N392="PRIMERA",
   VLOOKUP(O392,MAESTRO!M:O,2,FALSE),
   VLOOKUP(O392,MAESTRO!M:O,3,FALSE)
)</f>
        <v>#N/A</v>
      </c>
      <c r="Q392" s="148"/>
      <c r="R392" s="148" t="e">
        <f>VLOOKUP(Q392,MAESTRO!$P$5:$Q$8,2,FALSE)</f>
        <v>#N/A</v>
      </c>
      <c r="S392" s="149" t="str">
        <f t="shared" si="14"/>
        <v>NO ES TITULAR</v>
      </c>
      <c r="T392" s="154" t="str">
        <f t="shared" si="15"/>
        <v>NO ES TITULAR</v>
      </c>
      <c r="U392" s="157"/>
      <c r="V392" s="155"/>
      <c r="W392" s="140"/>
    </row>
    <row r="393" spans="1:23" ht="15.75" customHeight="1">
      <c r="A393" s="148"/>
      <c r="B393" s="148"/>
      <c r="C393" s="158" t="e">
        <f>VLOOKUP(B393,MAESTRO!$D$4:$E$10,2,FALSE)</f>
        <v>#N/A</v>
      </c>
      <c r="D393" s="145" t="e">
        <f t="shared" si="24"/>
        <v>#N/A</v>
      </c>
      <c r="E393" s="160"/>
      <c r="F393" s="140"/>
      <c r="G393" s="141" t="e">
        <f>VLOOKUP(F393,MAESTRO!$G$4:$H$14,2,FALSE)</f>
        <v>#N/A</v>
      </c>
      <c r="H393" s="140"/>
      <c r="I393" s="140"/>
      <c r="J393" s="143"/>
      <c r="K393" s="163"/>
      <c r="L393" s="145">
        <f t="shared" ca="1" si="22"/>
        <v>126</v>
      </c>
      <c r="M393" s="166"/>
      <c r="N393" s="144"/>
      <c r="O393" s="145">
        <f t="shared" si="23"/>
        <v>0</v>
      </c>
      <c r="P393" s="168" t="e">
        <f>IF(N393="PRIMERA",
   VLOOKUP(O393,MAESTRO!M:O,2,FALSE),
   VLOOKUP(O393,MAESTRO!M:O,3,FALSE)
)</f>
        <v>#N/A</v>
      </c>
      <c r="Q393" s="148"/>
      <c r="R393" s="148" t="e">
        <f>VLOOKUP(Q393,MAESTRO!$P$5:$Q$8,2,FALSE)</f>
        <v>#N/A</v>
      </c>
      <c r="S393" s="149" t="str">
        <f t="shared" si="14"/>
        <v>NO ES TITULAR</v>
      </c>
      <c r="T393" s="154" t="str">
        <f t="shared" si="15"/>
        <v>NO ES TITULAR</v>
      </c>
      <c r="U393" s="157"/>
      <c r="V393" s="155"/>
      <c r="W393" s="140"/>
    </row>
    <row r="394" spans="1:23" ht="15.75" customHeight="1">
      <c r="A394" s="148"/>
      <c r="B394" s="148"/>
      <c r="C394" s="158" t="e">
        <f>VLOOKUP(B394,MAESTRO!$D$4:$E$10,2,FALSE)</f>
        <v>#N/A</v>
      </c>
      <c r="D394" s="145" t="e">
        <f t="shared" si="24"/>
        <v>#N/A</v>
      </c>
      <c r="E394" s="160"/>
      <c r="F394" s="140"/>
      <c r="G394" s="141" t="e">
        <f>VLOOKUP(F394,MAESTRO!$G$4:$H$14,2,FALSE)</f>
        <v>#N/A</v>
      </c>
      <c r="H394" s="140"/>
      <c r="I394" s="140"/>
      <c r="J394" s="143"/>
      <c r="K394" s="163"/>
      <c r="L394" s="145">
        <f t="shared" ca="1" si="22"/>
        <v>126</v>
      </c>
      <c r="M394" s="166"/>
      <c r="N394" s="144"/>
      <c r="O394" s="145">
        <f t="shared" si="23"/>
        <v>0</v>
      </c>
      <c r="P394" s="168" t="e">
        <f>IF(N394="PRIMERA",
   VLOOKUP(O394,MAESTRO!M:O,2,FALSE),
   VLOOKUP(O394,MAESTRO!M:O,3,FALSE)
)</f>
        <v>#N/A</v>
      </c>
      <c r="Q394" s="148"/>
      <c r="R394" s="148" t="e">
        <f>VLOOKUP(Q394,MAESTRO!$P$5:$Q$8,2,FALSE)</f>
        <v>#N/A</v>
      </c>
      <c r="S394" s="149" t="str">
        <f t="shared" si="14"/>
        <v>NO ES TITULAR</v>
      </c>
      <c r="T394" s="154" t="str">
        <f t="shared" si="15"/>
        <v>NO ES TITULAR</v>
      </c>
      <c r="U394" s="157"/>
      <c r="V394" s="155"/>
      <c r="W394" s="140"/>
    </row>
    <row r="395" spans="1:23" ht="15.75" customHeight="1">
      <c r="A395" s="148"/>
      <c r="B395" s="148"/>
      <c r="C395" s="158" t="e">
        <f>VLOOKUP(B395,MAESTRO!$D$4:$E$10,2,FALSE)</f>
        <v>#N/A</v>
      </c>
      <c r="D395" s="145" t="e">
        <f t="shared" si="24"/>
        <v>#N/A</v>
      </c>
      <c r="E395" s="160"/>
      <c r="F395" s="140"/>
      <c r="G395" s="141" t="e">
        <f>VLOOKUP(F395,MAESTRO!$G$4:$H$14,2,FALSE)</f>
        <v>#N/A</v>
      </c>
      <c r="H395" s="140"/>
      <c r="I395" s="140"/>
      <c r="J395" s="143"/>
      <c r="K395" s="163"/>
      <c r="L395" s="145">
        <f t="shared" ca="1" si="22"/>
        <v>126</v>
      </c>
      <c r="M395" s="166"/>
      <c r="N395" s="144"/>
      <c r="O395" s="145">
        <f t="shared" si="23"/>
        <v>0</v>
      </c>
      <c r="P395" s="168" t="e">
        <f>IF(N395="PRIMERA",
   VLOOKUP(O395,MAESTRO!M:O,2,FALSE),
   VLOOKUP(O395,MAESTRO!M:O,3,FALSE)
)</f>
        <v>#N/A</v>
      </c>
      <c r="Q395" s="148"/>
      <c r="R395" s="148" t="e">
        <f>VLOOKUP(Q395,MAESTRO!$P$5:$Q$8,2,FALSE)</f>
        <v>#N/A</v>
      </c>
      <c r="S395" s="149" t="str">
        <f t="shared" si="14"/>
        <v>NO ES TITULAR</v>
      </c>
      <c r="T395" s="154" t="str">
        <f t="shared" si="15"/>
        <v>NO ES TITULAR</v>
      </c>
      <c r="U395" s="157"/>
      <c r="V395" s="155"/>
      <c r="W395" s="140"/>
    </row>
    <row r="396" spans="1:23" ht="15.75" customHeight="1">
      <c r="A396" s="148"/>
      <c r="B396" s="148"/>
      <c r="C396" s="158" t="e">
        <f>VLOOKUP(B396,MAESTRO!$D$4:$E$10,2,FALSE)</f>
        <v>#N/A</v>
      </c>
      <c r="D396" s="145" t="e">
        <f t="shared" si="24"/>
        <v>#N/A</v>
      </c>
      <c r="E396" s="160"/>
      <c r="F396" s="140"/>
      <c r="G396" s="141" t="e">
        <f>VLOOKUP(F396,MAESTRO!$G$4:$H$14,2,FALSE)</f>
        <v>#N/A</v>
      </c>
      <c r="H396" s="140"/>
      <c r="I396" s="140"/>
      <c r="J396" s="143"/>
      <c r="K396" s="163"/>
      <c r="L396" s="145">
        <f t="shared" ca="1" si="22"/>
        <v>126</v>
      </c>
      <c r="M396" s="166"/>
      <c r="N396" s="144"/>
      <c r="O396" s="145">
        <f t="shared" si="23"/>
        <v>0</v>
      </c>
      <c r="P396" s="168" t="e">
        <f>IF(N396="PRIMERA",
   VLOOKUP(O396,MAESTRO!M:O,2,FALSE),
   VLOOKUP(O396,MAESTRO!M:O,3,FALSE)
)</f>
        <v>#N/A</v>
      </c>
      <c r="Q396" s="148"/>
      <c r="R396" s="148" t="e">
        <f>VLOOKUP(Q396,MAESTRO!$P$5:$Q$8,2,FALSE)</f>
        <v>#N/A</v>
      </c>
      <c r="S396" s="149" t="str">
        <f t="shared" si="14"/>
        <v>NO ES TITULAR</v>
      </c>
      <c r="T396" s="154" t="str">
        <f t="shared" si="15"/>
        <v>NO ES TITULAR</v>
      </c>
      <c r="U396" s="157"/>
      <c r="V396" s="155"/>
      <c r="W396" s="140"/>
    </row>
    <row r="397" spans="1:23" ht="15.75" customHeight="1">
      <c r="A397" s="148"/>
      <c r="B397" s="148"/>
      <c r="C397" s="158" t="e">
        <f>VLOOKUP(B397,MAESTRO!$D$4:$E$10,2,FALSE)</f>
        <v>#N/A</v>
      </c>
      <c r="D397" s="145" t="e">
        <f t="shared" si="24"/>
        <v>#N/A</v>
      </c>
      <c r="E397" s="160"/>
      <c r="F397" s="140"/>
      <c r="G397" s="141" t="e">
        <f>VLOOKUP(F397,MAESTRO!$G$4:$H$14,2,FALSE)</f>
        <v>#N/A</v>
      </c>
      <c r="H397" s="140"/>
      <c r="I397" s="140"/>
      <c r="J397" s="143"/>
      <c r="K397" s="163"/>
      <c r="L397" s="145">
        <f t="shared" ca="1" si="22"/>
        <v>126</v>
      </c>
      <c r="M397" s="166"/>
      <c r="N397" s="144"/>
      <c r="O397" s="145">
        <f t="shared" si="23"/>
        <v>0</v>
      </c>
      <c r="P397" s="168" t="e">
        <f>IF(N397="PRIMERA",
   VLOOKUP(O397,MAESTRO!M:O,2,FALSE),
   VLOOKUP(O397,MAESTRO!M:O,3,FALSE)
)</f>
        <v>#N/A</v>
      </c>
      <c r="Q397" s="148"/>
      <c r="R397" s="148" t="e">
        <f>VLOOKUP(Q397,MAESTRO!$P$5:$Q$8,2,FALSE)</f>
        <v>#N/A</v>
      </c>
      <c r="S397" s="149" t="str">
        <f t="shared" si="14"/>
        <v>NO ES TITULAR</v>
      </c>
      <c r="T397" s="154" t="str">
        <f t="shared" si="15"/>
        <v>NO ES TITULAR</v>
      </c>
      <c r="U397" s="157"/>
      <c r="V397" s="155"/>
      <c r="W397" s="140"/>
    </row>
    <row r="398" spans="1:23" ht="15.75" customHeight="1">
      <c r="A398" s="148"/>
      <c r="B398" s="148"/>
      <c r="C398" s="158" t="e">
        <f>VLOOKUP(B398,MAESTRO!$D$4:$E$10,2,FALSE)</f>
        <v>#N/A</v>
      </c>
      <c r="D398" s="145" t="e">
        <f t="shared" si="24"/>
        <v>#N/A</v>
      </c>
      <c r="E398" s="160"/>
      <c r="F398" s="140"/>
      <c r="G398" s="141" t="e">
        <f>VLOOKUP(F398,MAESTRO!$G$4:$H$14,2,FALSE)</f>
        <v>#N/A</v>
      </c>
      <c r="H398" s="140"/>
      <c r="I398" s="140"/>
      <c r="J398" s="143"/>
      <c r="K398" s="163"/>
      <c r="L398" s="145">
        <f t="shared" ca="1" si="22"/>
        <v>126</v>
      </c>
      <c r="M398" s="166"/>
      <c r="N398" s="144"/>
      <c r="O398" s="145">
        <f t="shared" si="23"/>
        <v>0</v>
      </c>
      <c r="P398" s="168" t="e">
        <f>IF(N398="PRIMERA",
   VLOOKUP(O398,MAESTRO!M:O,2,FALSE),
   VLOOKUP(O398,MAESTRO!M:O,3,FALSE)
)</f>
        <v>#N/A</v>
      </c>
      <c r="Q398" s="148"/>
      <c r="R398" s="148" t="e">
        <f>VLOOKUP(Q398,MAESTRO!$P$5:$Q$8,2,FALSE)</f>
        <v>#N/A</v>
      </c>
      <c r="S398" s="149" t="str">
        <f t="shared" si="14"/>
        <v>NO ES TITULAR</v>
      </c>
      <c r="T398" s="154" t="str">
        <f t="shared" si="15"/>
        <v>NO ES TITULAR</v>
      </c>
      <c r="U398" s="157"/>
      <c r="V398" s="155"/>
      <c r="W398" s="140"/>
    </row>
    <row r="399" spans="1:23" ht="15.75" customHeight="1">
      <c r="A399" s="148"/>
      <c r="B399" s="148"/>
      <c r="C399" s="158" t="e">
        <f>VLOOKUP(B399,MAESTRO!$D$4:$E$10,2,FALSE)</f>
        <v>#N/A</v>
      </c>
      <c r="D399" s="145" t="e">
        <f t="shared" si="24"/>
        <v>#N/A</v>
      </c>
      <c r="E399" s="160"/>
      <c r="F399" s="140"/>
      <c r="G399" s="141" t="e">
        <f>VLOOKUP(F399,MAESTRO!$G$4:$H$14,2,FALSE)</f>
        <v>#N/A</v>
      </c>
      <c r="H399" s="140"/>
      <c r="I399" s="140"/>
      <c r="J399" s="143"/>
      <c r="K399" s="163"/>
      <c r="L399" s="145">
        <f t="shared" ca="1" si="22"/>
        <v>126</v>
      </c>
      <c r="M399" s="166"/>
      <c r="N399" s="144"/>
      <c r="O399" s="145">
        <f t="shared" si="23"/>
        <v>0</v>
      </c>
      <c r="P399" s="168" t="e">
        <f>IF(N399="PRIMERA",
   VLOOKUP(O399,MAESTRO!M:O,2,FALSE),
   VLOOKUP(O399,MAESTRO!M:O,3,FALSE)
)</f>
        <v>#N/A</v>
      </c>
      <c r="Q399" s="148"/>
      <c r="R399" s="148" t="e">
        <f>VLOOKUP(Q399,MAESTRO!$P$5:$Q$8,2,FALSE)</f>
        <v>#N/A</v>
      </c>
      <c r="S399" s="149" t="str">
        <f t="shared" si="14"/>
        <v>NO ES TITULAR</v>
      </c>
      <c r="T399" s="154" t="str">
        <f t="shared" si="15"/>
        <v>NO ES TITULAR</v>
      </c>
      <c r="U399" s="157"/>
      <c r="V399" s="155"/>
      <c r="W399" s="140"/>
    </row>
    <row r="400" spans="1:23" ht="15.75" customHeight="1">
      <c r="A400" s="148"/>
      <c r="B400" s="148"/>
      <c r="C400" s="158" t="e">
        <f>VLOOKUP(B400,MAESTRO!$D$4:$E$10,2,FALSE)</f>
        <v>#N/A</v>
      </c>
      <c r="D400" s="145" t="e">
        <f t="shared" si="24"/>
        <v>#N/A</v>
      </c>
      <c r="E400" s="160"/>
      <c r="F400" s="140"/>
      <c r="G400" s="141" t="e">
        <f>VLOOKUP(F400,MAESTRO!$G$4:$H$14,2,FALSE)</f>
        <v>#N/A</v>
      </c>
      <c r="H400" s="140"/>
      <c r="I400" s="140"/>
      <c r="J400" s="143"/>
      <c r="K400" s="163"/>
      <c r="L400" s="145">
        <f t="shared" ca="1" si="22"/>
        <v>126</v>
      </c>
      <c r="M400" s="166"/>
      <c r="N400" s="144"/>
      <c r="O400" s="145">
        <f t="shared" si="23"/>
        <v>0</v>
      </c>
      <c r="P400" s="168" t="e">
        <f>IF(N400="PRIMERA",
   VLOOKUP(O400,MAESTRO!M:O,2,FALSE),
   VLOOKUP(O400,MAESTRO!M:O,3,FALSE)
)</f>
        <v>#N/A</v>
      </c>
      <c r="Q400" s="148"/>
      <c r="R400" s="148" t="e">
        <f>VLOOKUP(Q400,MAESTRO!$P$5:$Q$8,2,FALSE)</f>
        <v>#N/A</v>
      </c>
      <c r="S400" s="149" t="str">
        <f t="shared" si="14"/>
        <v>NO ES TITULAR</v>
      </c>
      <c r="T400" s="154" t="str">
        <f t="shared" si="15"/>
        <v>NO ES TITULAR</v>
      </c>
      <c r="U400" s="157"/>
      <c r="V400" s="155"/>
      <c r="W400" s="140"/>
    </row>
    <row r="401" spans="1:23" ht="15.75" customHeight="1">
      <c r="A401" s="148"/>
      <c r="B401" s="148"/>
      <c r="C401" s="158" t="e">
        <f>VLOOKUP(B401,MAESTRO!$D$4:$E$10,2,FALSE)</f>
        <v>#N/A</v>
      </c>
      <c r="D401" s="145" t="e">
        <f t="shared" si="24"/>
        <v>#N/A</v>
      </c>
      <c r="E401" s="160"/>
      <c r="F401" s="140"/>
      <c r="G401" s="141" t="e">
        <f>VLOOKUP(F401,MAESTRO!$G$4:$H$14,2,FALSE)</f>
        <v>#N/A</v>
      </c>
      <c r="H401" s="140"/>
      <c r="I401" s="140"/>
      <c r="J401" s="143"/>
      <c r="K401" s="163"/>
      <c r="L401" s="145">
        <f t="shared" ca="1" si="22"/>
        <v>126</v>
      </c>
      <c r="M401" s="166"/>
      <c r="N401" s="144"/>
      <c r="O401" s="145">
        <f t="shared" si="23"/>
        <v>0</v>
      </c>
      <c r="P401" s="168" t="e">
        <f>IF(N401="PRIMERA",
   VLOOKUP(O401,MAESTRO!M:O,2,FALSE),
   VLOOKUP(O401,MAESTRO!M:O,3,FALSE)
)</f>
        <v>#N/A</v>
      </c>
      <c r="Q401" s="148"/>
      <c r="R401" s="148" t="e">
        <f>VLOOKUP(Q401,MAESTRO!$P$5:$Q$8,2,FALSE)</f>
        <v>#N/A</v>
      </c>
      <c r="S401" s="149" t="str">
        <f t="shared" si="14"/>
        <v>NO ES TITULAR</v>
      </c>
      <c r="T401" s="154" t="str">
        <f t="shared" si="15"/>
        <v>NO ES TITULAR</v>
      </c>
      <c r="U401" s="157"/>
      <c r="V401" s="155"/>
      <c r="W401" s="140"/>
    </row>
    <row r="402" spans="1:23" ht="15.75" customHeight="1">
      <c r="A402" s="148"/>
      <c r="B402" s="148"/>
      <c r="C402" s="158" t="e">
        <f>VLOOKUP(B402,MAESTRO!$D$4:$E$10,2,FALSE)</f>
        <v>#N/A</v>
      </c>
      <c r="D402" s="145" t="e">
        <f t="shared" si="24"/>
        <v>#N/A</v>
      </c>
      <c r="E402" s="160"/>
      <c r="F402" s="140"/>
      <c r="G402" s="141" t="e">
        <f>VLOOKUP(F402,MAESTRO!$G$4:$H$14,2,FALSE)</f>
        <v>#N/A</v>
      </c>
      <c r="H402" s="140"/>
      <c r="I402" s="140"/>
      <c r="J402" s="143"/>
      <c r="K402" s="163"/>
      <c r="L402" s="145">
        <f t="shared" ca="1" si="22"/>
        <v>126</v>
      </c>
      <c r="M402" s="166"/>
      <c r="N402" s="144"/>
      <c r="O402" s="145">
        <f t="shared" si="23"/>
        <v>0</v>
      </c>
      <c r="P402" s="168" t="e">
        <f>IF(N402="PRIMERA",
   VLOOKUP(O402,MAESTRO!M:O,2,FALSE),
   VLOOKUP(O402,MAESTRO!M:O,3,FALSE)
)</f>
        <v>#N/A</v>
      </c>
      <c r="Q402" s="148"/>
      <c r="R402" s="148" t="e">
        <f>VLOOKUP(Q402,MAESTRO!$P$5:$Q$8,2,FALSE)</f>
        <v>#N/A</v>
      </c>
      <c r="S402" s="149" t="str">
        <f t="shared" si="14"/>
        <v>NO ES TITULAR</v>
      </c>
      <c r="T402" s="154" t="str">
        <f t="shared" si="15"/>
        <v>NO ES TITULAR</v>
      </c>
      <c r="U402" s="157"/>
      <c r="V402" s="155"/>
      <c r="W402" s="140"/>
    </row>
    <row r="403" spans="1:23" ht="15.75" customHeight="1">
      <c r="A403" s="148"/>
      <c r="B403" s="148"/>
      <c r="C403" s="158" t="e">
        <f>VLOOKUP(B403,MAESTRO!$D$4:$E$10,2,FALSE)</f>
        <v>#N/A</v>
      </c>
      <c r="D403" s="145" t="e">
        <f t="shared" si="24"/>
        <v>#N/A</v>
      </c>
      <c r="E403" s="160"/>
      <c r="F403" s="140"/>
      <c r="G403" s="141" t="e">
        <f>VLOOKUP(F403,MAESTRO!$G$4:$H$14,2,FALSE)</f>
        <v>#N/A</v>
      </c>
      <c r="H403" s="140"/>
      <c r="I403" s="140"/>
      <c r="J403" s="143"/>
      <c r="K403" s="163"/>
      <c r="L403" s="145">
        <f t="shared" ca="1" si="22"/>
        <v>126</v>
      </c>
      <c r="M403" s="166"/>
      <c r="N403" s="144"/>
      <c r="O403" s="145">
        <f t="shared" si="23"/>
        <v>0</v>
      </c>
      <c r="P403" s="168" t="e">
        <f>IF(N403="PRIMERA",
   VLOOKUP(O403,MAESTRO!M:O,2,FALSE),
   VLOOKUP(O403,MAESTRO!M:O,3,FALSE)
)</f>
        <v>#N/A</v>
      </c>
      <c r="Q403" s="148"/>
      <c r="R403" s="148" t="e">
        <f>VLOOKUP(Q403,MAESTRO!$P$5:$Q$8,2,FALSE)</f>
        <v>#N/A</v>
      </c>
      <c r="S403" s="149" t="str">
        <f t="shared" si="14"/>
        <v>NO ES TITULAR</v>
      </c>
      <c r="T403" s="154" t="str">
        <f t="shared" si="15"/>
        <v>NO ES TITULAR</v>
      </c>
      <c r="U403" s="157"/>
      <c r="V403" s="155"/>
      <c r="W403" s="140"/>
    </row>
    <row r="404" spans="1:23" ht="15.75" customHeight="1">
      <c r="A404" s="148"/>
      <c r="B404" s="148"/>
      <c r="C404" s="158" t="e">
        <f>VLOOKUP(B404,MAESTRO!$D$4:$E$10,2,FALSE)</f>
        <v>#N/A</v>
      </c>
      <c r="D404" s="145" t="e">
        <f t="shared" si="24"/>
        <v>#N/A</v>
      </c>
      <c r="E404" s="160"/>
      <c r="F404" s="140"/>
      <c r="G404" s="141" t="e">
        <f>VLOOKUP(F404,MAESTRO!$G$4:$H$14,2,FALSE)</f>
        <v>#N/A</v>
      </c>
      <c r="H404" s="140"/>
      <c r="I404" s="140"/>
      <c r="J404" s="143"/>
      <c r="K404" s="163"/>
      <c r="L404" s="145">
        <f t="shared" ca="1" si="22"/>
        <v>126</v>
      </c>
      <c r="M404" s="166"/>
      <c r="N404" s="144"/>
      <c r="O404" s="145">
        <f t="shared" si="23"/>
        <v>0</v>
      </c>
      <c r="P404" s="168" t="e">
        <f>IF(N404="PRIMERA",
   VLOOKUP(O404,MAESTRO!M:O,2,FALSE),
   VLOOKUP(O404,MAESTRO!M:O,3,FALSE)
)</f>
        <v>#N/A</v>
      </c>
      <c r="Q404" s="148"/>
      <c r="R404" s="148" t="e">
        <f>VLOOKUP(Q404,MAESTRO!$P$5:$Q$8,2,FALSE)</f>
        <v>#N/A</v>
      </c>
      <c r="S404" s="149" t="str">
        <f t="shared" si="14"/>
        <v>NO ES TITULAR</v>
      </c>
      <c r="T404" s="154" t="str">
        <f t="shared" si="15"/>
        <v>NO ES TITULAR</v>
      </c>
      <c r="U404" s="157"/>
      <c r="V404" s="155"/>
      <c r="W404" s="140"/>
    </row>
    <row r="405" spans="1:23" ht="15.75" customHeight="1">
      <c r="A405" s="148"/>
      <c r="B405" s="148"/>
      <c r="C405" s="158" t="e">
        <f>VLOOKUP(B405,MAESTRO!$D$4:$E$10,2,FALSE)</f>
        <v>#N/A</v>
      </c>
      <c r="D405" s="145" t="e">
        <f t="shared" si="24"/>
        <v>#N/A</v>
      </c>
      <c r="E405" s="160"/>
      <c r="F405" s="140"/>
      <c r="G405" s="141" t="e">
        <f>VLOOKUP(F405,MAESTRO!$G$4:$H$14,2,FALSE)</f>
        <v>#N/A</v>
      </c>
      <c r="H405" s="140"/>
      <c r="I405" s="140"/>
      <c r="J405" s="143"/>
      <c r="K405" s="163"/>
      <c r="L405" s="145">
        <f t="shared" ca="1" si="22"/>
        <v>126</v>
      </c>
      <c r="M405" s="166"/>
      <c r="N405" s="144"/>
      <c r="O405" s="145">
        <f t="shared" si="23"/>
        <v>0</v>
      </c>
      <c r="P405" s="168" t="e">
        <f>IF(N405="PRIMERA",
   VLOOKUP(O405,MAESTRO!M:O,2,FALSE),
   VLOOKUP(O405,MAESTRO!M:O,3,FALSE)
)</f>
        <v>#N/A</v>
      </c>
      <c r="Q405" s="148"/>
      <c r="R405" s="148" t="e">
        <f>VLOOKUP(Q405,MAESTRO!$P$5:$Q$8,2,FALSE)</f>
        <v>#N/A</v>
      </c>
      <c r="S405" s="149" t="str">
        <f t="shared" si="14"/>
        <v>NO ES TITULAR</v>
      </c>
      <c r="T405" s="154" t="str">
        <f t="shared" si="15"/>
        <v>NO ES TITULAR</v>
      </c>
      <c r="U405" s="157"/>
      <c r="V405" s="155"/>
      <c r="W405" s="140"/>
    </row>
    <row r="406" spans="1:23" ht="15.75" customHeight="1">
      <c r="A406" s="148"/>
      <c r="B406" s="148"/>
      <c r="C406" s="158" t="e">
        <f>VLOOKUP(B406,MAESTRO!$D$4:$E$10,2,FALSE)</f>
        <v>#N/A</v>
      </c>
      <c r="D406" s="145" t="e">
        <f t="shared" si="24"/>
        <v>#N/A</v>
      </c>
      <c r="E406" s="160"/>
      <c r="F406" s="140"/>
      <c r="G406" s="141" t="e">
        <f>VLOOKUP(F406,MAESTRO!$G$4:$H$14,2,FALSE)</f>
        <v>#N/A</v>
      </c>
      <c r="H406" s="140"/>
      <c r="I406" s="140"/>
      <c r="J406" s="143"/>
      <c r="K406" s="163"/>
      <c r="L406" s="145">
        <f t="shared" ca="1" si="22"/>
        <v>126</v>
      </c>
      <c r="M406" s="166"/>
      <c r="N406" s="144"/>
      <c r="O406" s="145">
        <f t="shared" si="23"/>
        <v>0</v>
      </c>
      <c r="P406" s="168" t="e">
        <f>IF(N406="PRIMERA",
   VLOOKUP(O406,MAESTRO!M:O,2,FALSE),
   VLOOKUP(O406,MAESTRO!M:O,3,FALSE)
)</f>
        <v>#N/A</v>
      </c>
      <c r="Q406" s="148"/>
      <c r="R406" s="148" t="e">
        <f>VLOOKUP(Q406,MAESTRO!$P$5:$Q$8,2,FALSE)</f>
        <v>#N/A</v>
      </c>
      <c r="S406" s="149" t="str">
        <f t="shared" si="14"/>
        <v>NO ES TITULAR</v>
      </c>
      <c r="T406" s="154" t="str">
        <f t="shared" si="15"/>
        <v>NO ES TITULAR</v>
      </c>
      <c r="U406" s="157"/>
      <c r="V406" s="155"/>
      <c r="W406" s="140"/>
    </row>
    <row r="407" spans="1:23" ht="15.75" customHeight="1">
      <c r="A407" s="148"/>
      <c r="B407" s="148"/>
      <c r="C407" s="158" t="e">
        <f>VLOOKUP(B407,MAESTRO!$D$4:$E$10,2,FALSE)</f>
        <v>#N/A</v>
      </c>
      <c r="D407" s="145" t="e">
        <f t="shared" si="24"/>
        <v>#N/A</v>
      </c>
      <c r="E407" s="160"/>
      <c r="F407" s="140"/>
      <c r="G407" s="141" t="e">
        <f>VLOOKUP(F407,MAESTRO!$G$4:$H$14,2,FALSE)</f>
        <v>#N/A</v>
      </c>
      <c r="H407" s="140"/>
      <c r="I407" s="140"/>
      <c r="J407" s="143"/>
      <c r="K407" s="163"/>
      <c r="L407" s="145">
        <f t="shared" ca="1" si="22"/>
        <v>126</v>
      </c>
      <c r="M407" s="166"/>
      <c r="N407" s="144"/>
      <c r="O407" s="145">
        <f t="shared" si="23"/>
        <v>0</v>
      </c>
      <c r="P407" s="168" t="e">
        <f>IF(N407="PRIMERA",
   VLOOKUP(O407,MAESTRO!M:O,2,FALSE),
   VLOOKUP(O407,MAESTRO!M:O,3,FALSE)
)</f>
        <v>#N/A</v>
      </c>
      <c r="Q407" s="148"/>
      <c r="R407" s="148" t="e">
        <f>VLOOKUP(Q407,MAESTRO!$P$5:$Q$8,2,FALSE)</f>
        <v>#N/A</v>
      </c>
      <c r="S407" s="149" t="str">
        <f t="shared" si="14"/>
        <v>NO ES TITULAR</v>
      </c>
      <c r="T407" s="154" t="str">
        <f t="shared" si="15"/>
        <v>NO ES TITULAR</v>
      </c>
      <c r="U407" s="157"/>
      <c r="V407" s="155"/>
      <c r="W407" s="140"/>
    </row>
    <row r="408" spans="1:23" ht="15.75" customHeight="1">
      <c r="A408" s="148"/>
      <c r="B408" s="148"/>
      <c r="C408" s="158" t="e">
        <f>VLOOKUP(B408,MAESTRO!$D$4:$E$10,2,FALSE)</f>
        <v>#N/A</v>
      </c>
      <c r="D408" s="145" t="e">
        <f t="shared" si="24"/>
        <v>#N/A</v>
      </c>
      <c r="E408" s="160"/>
      <c r="F408" s="140"/>
      <c r="G408" s="141" t="e">
        <f>VLOOKUP(F408,MAESTRO!$G$4:$H$14,2,FALSE)</f>
        <v>#N/A</v>
      </c>
      <c r="H408" s="140"/>
      <c r="I408" s="140"/>
      <c r="J408" s="143"/>
      <c r="K408" s="163"/>
      <c r="L408" s="145">
        <f t="shared" ca="1" si="22"/>
        <v>126</v>
      </c>
      <c r="M408" s="166"/>
      <c r="N408" s="144"/>
      <c r="O408" s="145">
        <f t="shared" si="23"/>
        <v>0</v>
      </c>
      <c r="P408" s="168" t="e">
        <f>IF(N408="PRIMERA",
   VLOOKUP(O408,MAESTRO!M:O,2,FALSE),
   VLOOKUP(O408,MAESTRO!M:O,3,FALSE)
)</f>
        <v>#N/A</v>
      </c>
      <c r="Q408" s="148"/>
      <c r="R408" s="148" t="e">
        <f>VLOOKUP(Q408,MAESTRO!$P$5:$Q$8,2,FALSE)</f>
        <v>#N/A</v>
      </c>
      <c r="S408" s="149" t="str">
        <f t="shared" si="14"/>
        <v>NO ES TITULAR</v>
      </c>
      <c r="T408" s="154" t="str">
        <f t="shared" si="15"/>
        <v>NO ES TITULAR</v>
      </c>
      <c r="U408" s="157"/>
      <c r="V408" s="155"/>
      <c r="W408" s="140"/>
    </row>
    <row r="409" spans="1:23" ht="15.75" customHeight="1">
      <c r="A409" s="148"/>
      <c r="B409" s="148"/>
      <c r="C409" s="158" t="e">
        <f>VLOOKUP(B409,MAESTRO!$D$4:$E$10,2,FALSE)</f>
        <v>#N/A</v>
      </c>
      <c r="D409" s="145" t="e">
        <f t="shared" si="24"/>
        <v>#N/A</v>
      </c>
      <c r="E409" s="160"/>
      <c r="F409" s="140"/>
      <c r="G409" s="141" t="e">
        <f>VLOOKUP(F409,MAESTRO!$G$4:$H$14,2,FALSE)</f>
        <v>#N/A</v>
      </c>
      <c r="H409" s="140"/>
      <c r="I409" s="140"/>
      <c r="J409" s="143"/>
      <c r="K409" s="163"/>
      <c r="L409" s="145">
        <f t="shared" ca="1" si="22"/>
        <v>126</v>
      </c>
      <c r="M409" s="166"/>
      <c r="N409" s="144"/>
      <c r="O409" s="145">
        <f t="shared" si="23"/>
        <v>0</v>
      </c>
      <c r="P409" s="168" t="e">
        <f>IF(N409="PRIMERA",
   VLOOKUP(O409,MAESTRO!M:O,2,FALSE),
   VLOOKUP(O409,MAESTRO!M:O,3,FALSE)
)</f>
        <v>#N/A</v>
      </c>
      <c r="Q409" s="148"/>
      <c r="R409" s="148" t="e">
        <f>VLOOKUP(Q409,MAESTRO!$P$5:$Q$8,2,FALSE)</f>
        <v>#N/A</v>
      </c>
      <c r="S409" s="149" t="str">
        <f t="shared" si="14"/>
        <v>NO ES TITULAR</v>
      </c>
      <c r="T409" s="154" t="str">
        <f t="shared" si="15"/>
        <v>NO ES TITULAR</v>
      </c>
      <c r="U409" s="157"/>
      <c r="V409" s="155"/>
      <c r="W409" s="140"/>
    </row>
    <row r="410" spans="1:23" ht="15.75" customHeight="1">
      <c r="A410" s="148"/>
      <c r="B410" s="148"/>
      <c r="C410" s="158" t="e">
        <f>VLOOKUP(B410,MAESTRO!$D$4:$E$10,2,FALSE)</f>
        <v>#N/A</v>
      </c>
      <c r="D410" s="145" t="e">
        <f t="shared" si="24"/>
        <v>#N/A</v>
      </c>
      <c r="E410" s="160"/>
      <c r="F410" s="140"/>
      <c r="G410" s="141" t="e">
        <f>VLOOKUP(F410,MAESTRO!$G$4:$H$14,2,FALSE)</f>
        <v>#N/A</v>
      </c>
      <c r="H410" s="140"/>
      <c r="I410" s="140"/>
      <c r="J410" s="143"/>
      <c r="K410" s="163"/>
      <c r="L410" s="145">
        <f t="shared" ca="1" si="22"/>
        <v>126</v>
      </c>
      <c r="M410" s="166"/>
      <c r="N410" s="144"/>
      <c r="O410" s="145">
        <f t="shared" si="23"/>
        <v>0</v>
      </c>
      <c r="P410" s="168" t="e">
        <f>IF(N410="PRIMERA",
   VLOOKUP(O410,MAESTRO!M:O,2,FALSE),
   VLOOKUP(O410,MAESTRO!M:O,3,FALSE)
)</f>
        <v>#N/A</v>
      </c>
      <c r="Q410" s="148"/>
      <c r="R410" s="148" t="e">
        <f>VLOOKUP(Q410,MAESTRO!$P$5:$Q$8,2,FALSE)</f>
        <v>#N/A</v>
      </c>
      <c r="S410" s="149" t="str">
        <f t="shared" si="14"/>
        <v>NO ES TITULAR</v>
      </c>
      <c r="T410" s="154" t="str">
        <f t="shared" si="15"/>
        <v>NO ES TITULAR</v>
      </c>
      <c r="U410" s="157"/>
      <c r="V410" s="155"/>
      <c r="W410" s="140"/>
    </row>
    <row r="411" spans="1:23" ht="15.75" customHeight="1">
      <c r="A411" s="148"/>
      <c r="B411" s="148"/>
      <c r="C411" s="158" t="e">
        <f>VLOOKUP(B411,MAESTRO!$D$4:$E$10,2,FALSE)</f>
        <v>#N/A</v>
      </c>
      <c r="D411" s="145" t="e">
        <f t="shared" si="24"/>
        <v>#N/A</v>
      </c>
      <c r="E411" s="160"/>
      <c r="F411" s="140"/>
      <c r="G411" s="141" t="e">
        <f>VLOOKUP(F411,MAESTRO!$G$4:$H$14,2,FALSE)</f>
        <v>#N/A</v>
      </c>
      <c r="H411" s="140"/>
      <c r="I411" s="140"/>
      <c r="J411" s="143"/>
      <c r="K411" s="163"/>
      <c r="L411" s="145">
        <f t="shared" ca="1" si="22"/>
        <v>126</v>
      </c>
      <c r="M411" s="166"/>
      <c r="N411" s="144"/>
      <c r="O411" s="145">
        <f t="shared" si="23"/>
        <v>0</v>
      </c>
      <c r="P411" s="168" t="e">
        <f>IF(N411="PRIMERA",
   VLOOKUP(O411,MAESTRO!M:O,2,FALSE),
   VLOOKUP(O411,MAESTRO!M:O,3,FALSE)
)</f>
        <v>#N/A</v>
      </c>
      <c r="Q411" s="148"/>
      <c r="R411" s="148" t="e">
        <f>VLOOKUP(Q411,MAESTRO!$P$5:$Q$8,2,FALSE)</f>
        <v>#N/A</v>
      </c>
      <c r="S411" s="149" t="str">
        <f t="shared" si="14"/>
        <v>NO ES TITULAR</v>
      </c>
      <c r="T411" s="154" t="str">
        <f t="shared" si="15"/>
        <v>NO ES TITULAR</v>
      </c>
      <c r="U411" s="157"/>
      <c r="V411" s="155"/>
      <c r="W411" s="140"/>
    </row>
    <row r="412" spans="1:23" ht="15.75" customHeight="1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</row>
    <row r="413" spans="1:23" ht="15.75" customHeight="1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</row>
    <row r="414" spans="1:23" ht="15.75" customHeight="1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</row>
    <row r="415" spans="1:23" ht="15.75" customHeight="1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</row>
    <row r="416" spans="1:23" ht="15.75" customHeight="1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</row>
    <row r="417" spans="1:23" ht="15.75" customHeight="1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</row>
    <row r="418" spans="1:23" ht="15.75" customHeight="1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</row>
    <row r="419" spans="1:23" ht="15.75" customHeight="1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</row>
    <row r="420" spans="1:23" ht="15.75" customHeight="1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</row>
    <row r="421" spans="1:23" ht="15.75" customHeight="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</row>
    <row r="422" spans="1:23" ht="15.75" customHeight="1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</row>
    <row r="423" spans="1:23" ht="15.75" customHeight="1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</row>
    <row r="424" spans="1:23" ht="15.75" customHeight="1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</row>
    <row r="425" spans="1:23" ht="15.75" customHeight="1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</row>
    <row r="426" spans="1:23" ht="15.75" customHeight="1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</row>
    <row r="427" spans="1:23" ht="15.75" customHeight="1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</row>
    <row r="428" spans="1:23" ht="15.75" customHeight="1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</row>
    <row r="429" spans="1:23" ht="15.75" customHeight="1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</row>
    <row r="430" spans="1:23" ht="15.75" customHeight="1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</row>
    <row r="431" spans="1:23" ht="15.75" customHeight="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</row>
    <row r="432" spans="1:23" ht="15.75" customHeight="1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</row>
    <row r="433" spans="1:23" ht="15.75" customHeight="1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</row>
    <row r="434" spans="1:23" ht="15.75" customHeight="1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</row>
    <row r="435" spans="1:23" ht="15.75" customHeight="1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</row>
    <row r="436" spans="1:23" ht="15.75" customHeight="1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</row>
    <row r="437" spans="1:23" ht="15.75" customHeight="1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</row>
    <row r="438" spans="1:23" ht="15.75" customHeight="1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</row>
    <row r="439" spans="1:23" ht="15.75" customHeight="1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</row>
    <row r="440" spans="1:23" ht="15.75" customHeight="1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</row>
    <row r="441" spans="1:23" ht="15.75" customHeight="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</row>
    <row r="442" spans="1:23" ht="15.75" customHeight="1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</row>
    <row r="443" spans="1:23" ht="15.75" customHeight="1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</row>
    <row r="444" spans="1:23" ht="15.75" customHeight="1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</row>
    <row r="445" spans="1:23" ht="15.75" customHeight="1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</row>
    <row r="446" spans="1:23" ht="15.75" customHeight="1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</row>
    <row r="447" spans="1:23" ht="15.75" customHeight="1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</row>
    <row r="448" spans="1:23" ht="15.75" customHeight="1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</row>
    <row r="449" spans="1:23" ht="15.75" customHeight="1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</row>
    <row r="450" spans="1:23" ht="15.75" customHeight="1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</row>
    <row r="451" spans="1:23" ht="15.75" customHeight="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</row>
    <row r="452" spans="1:23" ht="15.75" customHeight="1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</row>
    <row r="453" spans="1:23" ht="15.75" customHeight="1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</row>
    <row r="454" spans="1:23" ht="15.75" customHeight="1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</row>
    <row r="455" spans="1:23" ht="15.75" customHeight="1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</row>
    <row r="456" spans="1:23" ht="15.75" customHeight="1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</row>
    <row r="457" spans="1:23" ht="15.75" customHeight="1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</row>
    <row r="458" spans="1:23" ht="15.75" customHeight="1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</row>
    <row r="459" spans="1:23" ht="15.75" customHeight="1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</row>
    <row r="460" spans="1:23" ht="15.75" customHeight="1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</row>
    <row r="461" spans="1:23" ht="15.75" customHeight="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</row>
    <row r="462" spans="1:23" ht="15.75" customHeight="1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</row>
    <row r="463" spans="1:23" ht="15.75" customHeight="1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</row>
    <row r="464" spans="1:23" ht="15.75" customHeight="1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</row>
    <row r="465" spans="1:23" ht="15.75" customHeight="1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</row>
    <row r="466" spans="1:23" ht="15.75" customHeight="1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</row>
    <row r="467" spans="1:23" ht="15.75" customHeight="1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</row>
    <row r="468" spans="1:23" ht="15.75" customHeight="1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</row>
    <row r="469" spans="1:23" ht="15.75" customHeight="1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</row>
    <row r="470" spans="1:23" ht="15.75" customHeight="1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</row>
    <row r="471" spans="1:23" ht="15.75" customHeight="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</row>
    <row r="472" spans="1:23" ht="15.75" customHeight="1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</row>
    <row r="473" spans="1:23" ht="15.75" customHeight="1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</row>
    <row r="474" spans="1:23" ht="15.75" customHeight="1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</row>
    <row r="475" spans="1:23" ht="15.75" customHeight="1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</row>
    <row r="476" spans="1:23" ht="15.75" customHeight="1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</row>
    <row r="477" spans="1:23" ht="15.75" customHeight="1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</row>
    <row r="478" spans="1:23" ht="15.75" customHeight="1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</row>
    <row r="479" spans="1:23" ht="15.75" customHeight="1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</row>
    <row r="480" spans="1:23" ht="15.75" customHeight="1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</row>
    <row r="481" spans="1:23" ht="15.75" customHeight="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</row>
    <row r="482" spans="1:23" ht="15.75" customHeight="1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</row>
    <row r="483" spans="1:23" ht="15.75" customHeight="1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</row>
    <row r="484" spans="1:23" ht="15.75" customHeight="1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</row>
    <row r="485" spans="1:23" ht="15.75" customHeight="1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</row>
    <row r="486" spans="1:23" ht="15.75" customHeight="1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</row>
    <row r="487" spans="1:23" ht="15.75" customHeight="1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</row>
    <row r="488" spans="1:23" ht="15.75" customHeight="1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</row>
    <row r="489" spans="1:23" ht="15.75" customHeight="1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</row>
    <row r="490" spans="1:23" ht="15.75" customHeight="1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</row>
    <row r="491" spans="1:23" ht="15.75" customHeight="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</row>
    <row r="492" spans="1:23" ht="15.75" customHeight="1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</row>
    <row r="493" spans="1:23" ht="15.75" customHeight="1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</row>
    <row r="494" spans="1:23" ht="15.75" customHeight="1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</row>
    <row r="495" spans="1:23" ht="15.75" customHeight="1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</row>
    <row r="496" spans="1:23" ht="15.75" customHeight="1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</row>
    <row r="497" spans="1:23" ht="15.75" customHeight="1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</row>
    <row r="498" spans="1:23" ht="15.75" customHeight="1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</row>
    <row r="499" spans="1:23" ht="15.75" customHeight="1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</row>
    <row r="500" spans="1:23" ht="15.75" customHeight="1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</row>
    <row r="501" spans="1:23" ht="15.75" customHeight="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</row>
    <row r="502" spans="1:23" ht="15.75" customHeight="1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</row>
    <row r="503" spans="1:23" ht="15.75" customHeight="1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</row>
    <row r="504" spans="1:23" ht="15.75" customHeight="1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</row>
    <row r="505" spans="1:23" ht="15.75" customHeight="1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</row>
    <row r="506" spans="1:23" ht="15.75" customHeight="1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</row>
    <row r="507" spans="1:23" ht="15.75" customHeight="1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</row>
    <row r="508" spans="1:23" ht="15.75" customHeight="1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</row>
    <row r="509" spans="1:23" ht="15.75" customHeight="1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</row>
    <row r="510" spans="1:23" ht="15.75" customHeight="1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</row>
    <row r="511" spans="1:23" ht="15.75" customHeight="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</row>
    <row r="512" spans="1:23" ht="15.75" customHeight="1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</row>
    <row r="513" spans="1:23" ht="15.75" customHeight="1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</row>
    <row r="514" spans="1:23" ht="15.75" customHeight="1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</row>
    <row r="515" spans="1:23" ht="15.75" customHeight="1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</row>
    <row r="516" spans="1:23" ht="15.75" customHeight="1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</row>
    <row r="517" spans="1:23" ht="15.75" customHeight="1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</row>
    <row r="518" spans="1:23" ht="15.75" customHeight="1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</row>
    <row r="519" spans="1:23" ht="15.75" customHeight="1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</row>
    <row r="520" spans="1:23" ht="15.75" customHeight="1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</row>
    <row r="521" spans="1:23" ht="15.75" customHeight="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</row>
    <row r="522" spans="1:23" ht="15.75" customHeight="1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</row>
    <row r="523" spans="1:23" ht="15.75" customHeight="1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</row>
    <row r="524" spans="1:23" ht="15.75" customHeight="1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</row>
    <row r="525" spans="1:23" ht="15.75" customHeight="1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</row>
    <row r="526" spans="1:23" ht="15.75" customHeight="1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</row>
    <row r="527" spans="1:23" ht="15.75" customHeight="1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</row>
    <row r="528" spans="1:23" ht="15.75" customHeight="1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</row>
    <row r="529" spans="1:23" ht="15.75" customHeight="1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</row>
    <row r="530" spans="1:23" ht="15.75" customHeight="1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</row>
    <row r="531" spans="1:23" ht="15.75" customHeight="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</row>
    <row r="532" spans="1:23" ht="15.75" customHeight="1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</row>
    <row r="533" spans="1:23" ht="15.75" customHeight="1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</row>
    <row r="534" spans="1:23" ht="15.75" customHeight="1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</row>
    <row r="535" spans="1:23" ht="15.75" customHeight="1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</row>
    <row r="536" spans="1:23" ht="15.75" customHeight="1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</row>
    <row r="537" spans="1:23" ht="15.75" customHeight="1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</row>
    <row r="538" spans="1:23" ht="15.75" customHeight="1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</row>
    <row r="539" spans="1:23" ht="15.75" customHeight="1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</row>
    <row r="540" spans="1:23" ht="15.75" customHeight="1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</row>
    <row r="541" spans="1:23" ht="15.75" customHeight="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</row>
    <row r="542" spans="1:23" ht="15.75" customHeight="1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</row>
    <row r="543" spans="1:23" ht="15.75" customHeight="1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</row>
    <row r="544" spans="1:23" ht="15.75" customHeight="1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</row>
    <row r="545" spans="1:23" ht="15.75" customHeight="1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</row>
    <row r="546" spans="1:23" ht="15.75" customHeight="1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</row>
    <row r="547" spans="1:23" ht="15.75" customHeight="1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</row>
    <row r="548" spans="1:23" ht="15.75" customHeight="1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</row>
    <row r="549" spans="1:23" ht="15.75" customHeight="1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</row>
    <row r="550" spans="1:23" ht="15.75" customHeight="1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</row>
    <row r="551" spans="1:23" ht="15.75" customHeight="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</row>
    <row r="552" spans="1:23" ht="15.75" customHeight="1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</row>
    <row r="553" spans="1:23" ht="15.75" customHeight="1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</row>
    <row r="554" spans="1:23" ht="15.75" customHeight="1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</row>
    <row r="555" spans="1:23" ht="15.75" customHeight="1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</row>
    <row r="556" spans="1:23" ht="15.75" customHeight="1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</row>
    <row r="557" spans="1:23" ht="15.75" customHeight="1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</row>
    <row r="558" spans="1:23" ht="15.75" customHeight="1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</row>
    <row r="559" spans="1:23" ht="15.75" customHeight="1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</row>
    <row r="560" spans="1:23" ht="15.75" customHeight="1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</row>
    <row r="561" spans="1:23" ht="15.75" customHeight="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</row>
    <row r="562" spans="1:23" ht="15.75" customHeight="1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</row>
    <row r="563" spans="1:23" ht="15.75" customHeight="1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</row>
    <row r="564" spans="1:23" ht="15.75" customHeight="1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</row>
    <row r="565" spans="1:23" ht="15.75" customHeight="1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</row>
    <row r="566" spans="1:23" ht="15.75" customHeight="1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</row>
    <row r="567" spans="1:23" ht="15.75" customHeight="1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</row>
    <row r="568" spans="1:23" ht="15.75" customHeight="1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</row>
    <row r="569" spans="1:23" ht="15.75" customHeight="1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</row>
    <row r="570" spans="1:23" ht="15.75" customHeight="1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</row>
    <row r="571" spans="1:23" ht="15.75" customHeight="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</row>
    <row r="572" spans="1:23" ht="15.75" customHeight="1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</row>
    <row r="573" spans="1:23" ht="15.75" customHeight="1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</row>
    <row r="574" spans="1:23" ht="15.75" customHeight="1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</row>
    <row r="575" spans="1:23" ht="15.75" customHeight="1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</row>
    <row r="576" spans="1:23" ht="15.75" customHeight="1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</row>
    <row r="577" spans="1:23" ht="15.75" customHeight="1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</row>
    <row r="578" spans="1:23" ht="15.75" customHeight="1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</row>
    <row r="579" spans="1:23" ht="15.75" customHeight="1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</row>
    <row r="580" spans="1:23" ht="15.75" customHeight="1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</row>
    <row r="581" spans="1:23" ht="15.75" customHeight="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</row>
    <row r="582" spans="1:23" ht="15.75" customHeight="1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</row>
    <row r="583" spans="1:23" ht="15.75" customHeight="1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</row>
    <row r="584" spans="1:23" ht="15.75" customHeight="1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</row>
    <row r="585" spans="1:23" ht="15.75" customHeight="1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</row>
    <row r="586" spans="1:23" ht="15.75" customHeight="1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</row>
    <row r="587" spans="1:23" ht="15.75" customHeight="1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</row>
    <row r="588" spans="1:23" ht="15.75" customHeight="1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</row>
    <row r="589" spans="1:23" ht="15.75" customHeight="1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</row>
    <row r="590" spans="1:23" ht="15.75" customHeight="1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</row>
    <row r="591" spans="1:23" ht="15.75" customHeight="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</row>
    <row r="592" spans="1:23" ht="15.75" customHeight="1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</row>
    <row r="593" spans="1:23" ht="15.75" customHeight="1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</row>
    <row r="594" spans="1:23" ht="15.75" customHeight="1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</row>
    <row r="595" spans="1:23" ht="15.75" customHeight="1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</row>
    <row r="596" spans="1:23" ht="15.75" customHeight="1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</row>
    <row r="597" spans="1:23" ht="15.75" customHeight="1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</row>
    <row r="598" spans="1:23" ht="15.75" customHeight="1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</row>
    <row r="599" spans="1:23" ht="15.75" customHeight="1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</row>
    <row r="600" spans="1:23" ht="15.75" customHeight="1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</row>
    <row r="601" spans="1:23" ht="15.75" customHeight="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</row>
    <row r="602" spans="1:23" ht="15.75" customHeight="1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</row>
    <row r="603" spans="1:23" ht="15.75" customHeight="1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</row>
    <row r="604" spans="1:23" ht="15.75" customHeight="1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</row>
    <row r="605" spans="1:23" ht="15.75" customHeight="1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</row>
    <row r="606" spans="1:23" ht="15.75" customHeight="1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</row>
    <row r="607" spans="1:23" ht="15.75" customHeight="1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</row>
    <row r="608" spans="1:23" ht="15.75" customHeight="1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</row>
    <row r="609" spans="1:23" ht="15.75" customHeight="1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</row>
    <row r="610" spans="1:23" ht="15.75" customHeight="1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</row>
    <row r="611" spans="1:23" ht="15.75" customHeight="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</row>
    <row r="612" spans="1:23" ht="15.75" customHeight="1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</row>
    <row r="613" spans="1:23" ht="15.75" customHeight="1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</row>
    <row r="614" spans="1:23" ht="15.75" customHeight="1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</row>
    <row r="615" spans="1:23" ht="15.75" customHeight="1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</row>
    <row r="616" spans="1:23" ht="15.75" customHeight="1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</row>
    <row r="617" spans="1:23" ht="15.75" customHeight="1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</row>
    <row r="618" spans="1:23" ht="15.75" customHeight="1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</row>
    <row r="619" spans="1:23" ht="15.75" customHeight="1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</row>
    <row r="620" spans="1:23" ht="15.75" customHeight="1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</row>
    <row r="621" spans="1:23" ht="15.75" customHeight="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</row>
    <row r="622" spans="1:23" ht="15.75" customHeight="1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</row>
    <row r="623" spans="1:23" ht="15.75" customHeight="1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</row>
    <row r="624" spans="1:23" ht="15.75" customHeight="1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</row>
    <row r="625" spans="1:23" ht="15.75" customHeight="1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</row>
    <row r="626" spans="1:23" ht="15.75" customHeight="1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</row>
    <row r="627" spans="1:23" ht="15.75" customHeight="1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</row>
    <row r="628" spans="1:23" ht="15.75" customHeight="1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</row>
    <row r="629" spans="1:23" ht="15.75" customHeight="1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</row>
    <row r="630" spans="1:23" ht="15.75" customHeight="1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</row>
    <row r="631" spans="1:23" ht="15.75" customHeight="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</row>
    <row r="632" spans="1:23" ht="15.75" customHeight="1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</row>
    <row r="633" spans="1:23" ht="15.75" customHeight="1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</row>
    <row r="634" spans="1:23" ht="15.75" customHeight="1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</row>
    <row r="635" spans="1:23" ht="15.75" customHeight="1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</row>
    <row r="636" spans="1:23" ht="15.75" customHeight="1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</row>
    <row r="637" spans="1:23" ht="15.75" customHeight="1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</row>
    <row r="638" spans="1:23" ht="15.75" customHeight="1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</row>
    <row r="639" spans="1:23" ht="15.75" customHeight="1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</row>
    <row r="640" spans="1:23" ht="15.75" customHeight="1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</row>
    <row r="641" spans="1:23" ht="15.75" customHeight="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</row>
    <row r="642" spans="1:23" ht="15.75" customHeight="1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</row>
    <row r="643" spans="1:23" ht="15.75" customHeight="1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</row>
    <row r="644" spans="1:23" ht="15.75" customHeight="1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</row>
    <row r="645" spans="1:23" ht="15.75" customHeight="1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</row>
    <row r="646" spans="1:23" ht="15.75" customHeight="1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</row>
    <row r="647" spans="1:23" ht="15.75" customHeight="1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</row>
    <row r="648" spans="1:23" ht="15.75" customHeight="1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</row>
    <row r="649" spans="1:23" ht="15.75" customHeight="1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</row>
    <row r="650" spans="1:23" ht="15.75" customHeight="1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</row>
    <row r="651" spans="1:23" ht="15.75" customHeight="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</row>
    <row r="652" spans="1:23" ht="15.75" customHeight="1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</row>
    <row r="653" spans="1:23" ht="15.75" customHeight="1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</row>
    <row r="654" spans="1:23" ht="15.75" customHeight="1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</row>
    <row r="655" spans="1:23" ht="15.75" customHeight="1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</row>
    <row r="656" spans="1:23" ht="15.75" customHeight="1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</row>
    <row r="657" spans="1:23" ht="15.75" customHeight="1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</row>
    <row r="658" spans="1:23" ht="15.75" customHeight="1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</row>
    <row r="659" spans="1:23" ht="15.75" customHeight="1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</row>
    <row r="660" spans="1:23" ht="15.75" customHeight="1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</row>
    <row r="661" spans="1:23" ht="15.75" customHeight="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</row>
    <row r="662" spans="1:23" ht="15.75" customHeight="1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</row>
    <row r="663" spans="1:23" ht="15.75" customHeight="1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</row>
    <row r="664" spans="1:23" ht="15.75" customHeight="1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</row>
    <row r="665" spans="1:23" ht="15.75" customHeight="1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</row>
    <row r="666" spans="1:23" ht="15.75" customHeight="1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</row>
    <row r="667" spans="1:23" ht="15.75" customHeight="1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</row>
    <row r="668" spans="1:23" ht="15.75" customHeight="1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</row>
    <row r="669" spans="1:23" ht="15.75" customHeight="1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</row>
    <row r="670" spans="1:23" ht="15.75" customHeight="1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</row>
    <row r="671" spans="1:23" ht="15.75" customHeight="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</row>
    <row r="672" spans="1:23" ht="15.75" customHeight="1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</row>
    <row r="673" spans="1:23" ht="15.75" customHeight="1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</row>
    <row r="674" spans="1:23" ht="15.75" customHeight="1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</row>
    <row r="675" spans="1:23" ht="15.75" customHeight="1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</row>
    <row r="676" spans="1:23" ht="15.75" customHeight="1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</row>
    <row r="677" spans="1:23" ht="15.75" customHeight="1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</row>
    <row r="678" spans="1:23" ht="15.75" customHeight="1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</row>
    <row r="679" spans="1:23" ht="15.75" customHeight="1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</row>
    <row r="680" spans="1:23" ht="15.75" customHeight="1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</row>
    <row r="681" spans="1:23" ht="15.75" customHeight="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</row>
    <row r="682" spans="1:23" ht="15.75" customHeight="1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</row>
    <row r="683" spans="1:23" ht="15.75" customHeight="1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</row>
    <row r="684" spans="1:23" ht="15.75" customHeight="1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</row>
    <row r="685" spans="1:23" ht="15.75" customHeight="1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</row>
    <row r="686" spans="1:23" ht="15.75" customHeight="1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</row>
    <row r="687" spans="1:23" ht="15.75" customHeight="1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</row>
    <row r="688" spans="1:23" ht="15.75" customHeight="1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</row>
    <row r="689" spans="1:23" ht="15.75" customHeight="1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</row>
    <row r="690" spans="1:23" ht="15.75" customHeight="1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</row>
    <row r="691" spans="1:23" ht="15.75" customHeight="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</row>
    <row r="692" spans="1:23" ht="15.75" customHeight="1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</row>
    <row r="693" spans="1:23" ht="15.75" customHeight="1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</row>
    <row r="694" spans="1:23" ht="15.75" customHeight="1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</row>
    <row r="695" spans="1:23" ht="15.75" customHeight="1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</row>
    <row r="696" spans="1:23" ht="15.75" customHeight="1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</row>
    <row r="697" spans="1:23" ht="15.75" customHeight="1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</row>
    <row r="698" spans="1:23" ht="15.75" customHeight="1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</row>
    <row r="699" spans="1:23" ht="15.75" customHeight="1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</row>
    <row r="700" spans="1:23" ht="15.75" customHeight="1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</row>
    <row r="701" spans="1:23" ht="15.75" customHeight="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</row>
    <row r="702" spans="1:23" ht="15.75" customHeight="1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</row>
    <row r="703" spans="1:23" ht="15.75" customHeight="1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</row>
    <row r="704" spans="1:23" ht="15.75" customHeight="1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</row>
    <row r="705" spans="1:23" ht="15.75" customHeight="1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</row>
    <row r="706" spans="1:23" ht="15.75" customHeight="1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</row>
    <row r="707" spans="1:23" ht="15.75" customHeight="1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</row>
    <row r="708" spans="1:23" ht="15.75" customHeight="1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</row>
    <row r="709" spans="1:23" ht="15.75" customHeight="1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</row>
    <row r="710" spans="1:23" ht="15.75" customHeight="1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</row>
    <row r="711" spans="1:23" ht="15.75" customHeight="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</row>
    <row r="712" spans="1:23" ht="15.75" customHeight="1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</row>
    <row r="713" spans="1:23" ht="15.75" customHeight="1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</row>
    <row r="714" spans="1:23" ht="15.75" customHeight="1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</row>
    <row r="715" spans="1:23" ht="15.75" customHeight="1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</row>
    <row r="716" spans="1:23" ht="15.75" customHeight="1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</row>
    <row r="717" spans="1:23" ht="15.75" customHeight="1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</row>
    <row r="718" spans="1:23" ht="15.75" customHeight="1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</row>
    <row r="719" spans="1:23" ht="15.75" customHeight="1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</row>
    <row r="720" spans="1:23" ht="15.75" customHeight="1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</row>
    <row r="721" spans="1:23" ht="15.75" customHeight="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</row>
    <row r="722" spans="1:23" ht="15.75" customHeight="1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</row>
    <row r="723" spans="1:23" ht="15.75" customHeight="1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</row>
    <row r="724" spans="1:23" ht="15.75" customHeight="1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</row>
    <row r="725" spans="1:23" ht="15.75" customHeight="1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</row>
    <row r="726" spans="1:23" ht="15.75" customHeight="1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</row>
    <row r="727" spans="1:23" ht="15.75" customHeight="1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</row>
    <row r="728" spans="1:23" ht="15.75" customHeight="1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</row>
    <row r="729" spans="1:23" ht="15.75" customHeight="1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</row>
    <row r="730" spans="1:23" ht="15.75" customHeight="1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</row>
    <row r="731" spans="1:23" ht="15.75" customHeight="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</row>
    <row r="732" spans="1:23" ht="15.75" customHeight="1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</row>
    <row r="733" spans="1:23" ht="15.75" customHeight="1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</row>
    <row r="734" spans="1:23" ht="15.75" customHeight="1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</row>
    <row r="735" spans="1:23" ht="15.75" customHeight="1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</row>
    <row r="736" spans="1:23" ht="15.75" customHeight="1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</row>
    <row r="737" spans="1:23" ht="15.75" customHeight="1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</row>
    <row r="738" spans="1:23" ht="15.75" customHeight="1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</row>
    <row r="739" spans="1:23" ht="15.75" customHeight="1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</row>
    <row r="740" spans="1:23" ht="15.75" customHeight="1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</row>
    <row r="741" spans="1:23" ht="15.75" customHeight="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</row>
    <row r="742" spans="1:23" ht="15.75" customHeight="1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</row>
    <row r="743" spans="1:23" ht="15.75" customHeight="1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</row>
    <row r="744" spans="1:23" ht="15.75" customHeight="1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</row>
    <row r="745" spans="1:23" ht="15.75" customHeight="1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</row>
    <row r="746" spans="1:23" ht="15.75" customHeight="1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</row>
    <row r="747" spans="1:23" ht="15.75" customHeight="1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</row>
    <row r="748" spans="1:23" ht="15.75" customHeight="1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</row>
    <row r="749" spans="1:23" ht="15.75" customHeight="1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</row>
    <row r="750" spans="1:23" ht="15.75" customHeight="1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</row>
    <row r="751" spans="1:23" ht="15.75" customHeight="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</row>
    <row r="752" spans="1:23" ht="15.75" customHeight="1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</row>
    <row r="753" spans="1:23" ht="15.75" customHeight="1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</row>
    <row r="754" spans="1:23" ht="15.75" customHeight="1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</row>
    <row r="755" spans="1:23" ht="15.75" customHeight="1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</row>
    <row r="756" spans="1:23" ht="15.75" customHeight="1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</row>
    <row r="757" spans="1:23" ht="15.75" customHeight="1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</row>
    <row r="758" spans="1:23" ht="15.75" customHeight="1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</row>
    <row r="759" spans="1:23" ht="15.75" customHeight="1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</row>
    <row r="760" spans="1:23" ht="15.75" customHeight="1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</row>
    <row r="761" spans="1:23" ht="15.75" customHeight="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</row>
    <row r="762" spans="1:23" ht="15.75" customHeight="1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</row>
    <row r="763" spans="1:23" ht="15.75" customHeight="1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</row>
    <row r="764" spans="1:23" ht="15.75" customHeight="1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</row>
    <row r="765" spans="1:23" ht="15.75" customHeight="1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</row>
    <row r="766" spans="1:23" ht="15.75" customHeight="1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</row>
    <row r="767" spans="1:23" ht="15.75" customHeight="1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</row>
    <row r="768" spans="1:23" ht="15.75" customHeight="1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</row>
    <row r="769" spans="1:23" ht="15.75" customHeight="1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</row>
    <row r="770" spans="1:23" ht="15.75" customHeight="1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</row>
    <row r="771" spans="1:23" ht="15.75" customHeight="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</row>
    <row r="772" spans="1:23" ht="15.75" customHeight="1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</row>
    <row r="773" spans="1:23" ht="15.75" customHeight="1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</row>
    <row r="774" spans="1:23" ht="15.75" customHeight="1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</row>
    <row r="775" spans="1:23" ht="15.75" customHeight="1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</row>
    <row r="776" spans="1:23" ht="15.75" customHeight="1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</row>
    <row r="777" spans="1:23" ht="15.75" customHeight="1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</row>
    <row r="778" spans="1:23" ht="15.75" customHeight="1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</row>
    <row r="779" spans="1:23" ht="15.75" customHeight="1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</row>
    <row r="780" spans="1:23" ht="15.75" customHeight="1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</row>
    <row r="781" spans="1:23" ht="15.75" customHeight="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</row>
    <row r="782" spans="1:23" ht="15.75" customHeight="1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</row>
    <row r="783" spans="1:23" ht="15.75" customHeight="1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</row>
    <row r="784" spans="1:23" ht="15.75" customHeight="1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</row>
    <row r="785" spans="1:23" ht="15.75" customHeight="1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</row>
    <row r="786" spans="1:23" ht="15.75" customHeight="1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</row>
    <row r="787" spans="1:23" ht="15.75" customHeight="1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</row>
    <row r="788" spans="1:23" ht="15.75" customHeight="1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</row>
    <row r="789" spans="1:23" ht="15.75" customHeight="1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</row>
    <row r="790" spans="1:23" ht="15.75" customHeight="1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</row>
    <row r="791" spans="1:23" ht="15.75" customHeight="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</row>
    <row r="792" spans="1:23" ht="15.75" customHeight="1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</row>
    <row r="793" spans="1:23" ht="15.75" customHeight="1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</row>
    <row r="794" spans="1:23" ht="15.75" customHeight="1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</row>
    <row r="795" spans="1:23" ht="15.75" customHeight="1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</row>
    <row r="796" spans="1:23" ht="15.75" customHeight="1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</row>
    <row r="797" spans="1:23" ht="15.75" customHeight="1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</row>
    <row r="798" spans="1:23" ht="15.75" customHeight="1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</row>
    <row r="799" spans="1:23" ht="15.75" customHeight="1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</row>
    <row r="800" spans="1:23" ht="15.75" customHeight="1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</row>
    <row r="801" spans="1:23" ht="15.75" customHeight="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</row>
    <row r="802" spans="1:23" ht="15.75" customHeight="1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</row>
    <row r="803" spans="1:23" ht="15.75" customHeight="1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</row>
    <row r="804" spans="1:23" ht="15.75" customHeight="1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</row>
    <row r="805" spans="1:23" ht="15.75" customHeight="1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</row>
    <row r="806" spans="1:23" ht="15.75" customHeight="1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</row>
    <row r="807" spans="1:23" ht="15.75" customHeight="1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</row>
    <row r="808" spans="1:23" ht="15.75" customHeight="1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</row>
    <row r="809" spans="1:23" ht="15.75" customHeight="1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</row>
    <row r="810" spans="1:23" ht="15.75" customHeight="1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</row>
    <row r="811" spans="1:23" ht="15.75" customHeight="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</row>
    <row r="812" spans="1:23" ht="15.75" customHeight="1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</row>
    <row r="813" spans="1:23" ht="15.75" customHeight="1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</row>
    <row r="814" spans="1:23" ht="15.75" customHeight="1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</row>
    <row r="815" spans="1:23" ht="15.75" customHeight="1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</row>
    <row r="816" spans="1:23" ht="15.75" customHeight="1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</row>
    <row r="817" spans="1:23" ht="15.75" customHeight="1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</row>
    <row r="818" spans="1:23" ht="15.75" customHeight="1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</row>
    <row r="819" spans="1:23" ht="15.75" customHeight="1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</row>
    <row r="820" spans="1:23" ht="15.75" customHeight="1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</row>
    <row r="821" spans="1:23" ht="15.75" customHeight="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</row>
    <row r="822" spans="1:23" ht="15.75" customHeight="1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</row>
    <row r="823" spans="1:23" ht="15.75" customHeight="1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</row>
    <row r="824" spans="1:23" ht="15.75" customHeight="1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</row>
    <row r="825" spans="1:23" ht="15.75" customHeight="1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</row>
    <row r="826" spans="1:23" ht="15.75" customHeight="1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</row>
    <row r="827" spans="1:23" ht="15.75" customHeight="1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</row>
    <row r="828" spans="1:23" ht="15.75" customHeight="1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</row>
    <row r="829" spans="1:23" ht="15.75" customHeight="1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</row>
    <row r="830" spans="1:23" ht="15.75" customHeight="1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</row>
    <row r="831" spans="1:23" ht="15.75" customHeight="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</row>
    <row r="832" spans="1:23" ht="15.75" customHeight="1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</row>
    <row r="833" spans="1:23" ht="15.75" customHeight="1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</row>
    <row r="834" spans="1:23" ht="15.75" customHeight="1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</row>
    <row r="835" spans="1:23" ht="15.75" customHeight="1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</row>
    <row r="836" spans="1:23" ht="15.75" customHeight="1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</row>
    <row r="837" spans="1:23" ht="15.75" customHeight="1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</row>
    <row r="838" spans="1:23" ht="15.75" customHeight="1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</row>
    <row r="839" spans="1:23" ht="15.75" customHeight="1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</row>
    <row r="840" spans="1:23" ht="15.75" customHeight="1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</row>
    <row r="841" spans="1:23" ht="15.75" customHeight="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</row>
    <row r="842" spans="1:23" ht="15.75" customHeight="1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</row>
    <row r="843" spans="1:23" ht="15.75" customHeight="1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</row>
    <row r="844" spans="1:23" ht="15.75" customHeight="1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</row>
    <row r="845" spans="1:23" ht="15.75" customHeight="1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</row>
    <row r="846" spans="1:23" ht="15.75" customHeight="1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</row>
    <row r="847" spans="1:23" ht="15.75" customHeight="1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</row>
    <row r="848" spans="1:23" ht="15.75" customHeight="1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</row>
    <row r="849" spans="1:23" ht="15.75" customHeight="1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</row>
    <row r="850" spans="1:23" ht="15.75" customHeight="1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</row>
    <row r="851" spans="1:23" ht="15.75" customHeight="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</row>
    <row r="852" spans="1:23" ht="15.75" customHeight="1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</row>
    <row r="853" spans="1:23" ht="15.75" customHeight="1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</row>
    <row r="854" spans="1:23" ht="15.75" customHeight="1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</row>
    <row r="855" spans="1:23" ht="15.75" customHeight="1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</row>
    <row r="856" spans="1:23" ht="15.75" customHeight="1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</row>
    <row r="857" spans="1:23" ht="15.75" customHeight="1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</row>
    <row r="858" spans="1:23" ht="15.75" customHeight="1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</row>
    <row r="859" spans="1:23" ht="15.75" customHeight="1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</row>
    <row r="860" spans="1:23" ht="15.75" customHeight="1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</row>
    <row r="861" spans="1:23" ht="15.75" customHeight="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</row>
    <row r="862" spans="1:23" ht="15.75" customHeight="1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</row>
    <row r="863" spans="1:23" ht="15.75" customHeight="1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</row>
    <row r="864" spans="1:23" ht="15.75" customHeight="1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</row>
    <row r="865" spans="1:23" ht="15.75" customHeight="1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</row>
    <row r="866" spans="1:23" ht="15.75" customHeight="1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</row>
    <row r="867" spans="1:23" ht="15.75" customHeight="1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</row>
    <row r="868" spans="1:23" ht="15.75" customHeight="1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</row>
    <row r="869" spans="1:23" ht="15.75" customHeight="1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</row>
    <row r="870" spans="1:23" ht="15.75" customHeight="1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</row>
    <row r="871" spans="1:23" ht="15.75" customHeight="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</row>
    <row r="872" spans="1:23" ht="15.75" customHeight="1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</row>
    <row r="873" spans="1:23" ht="15.75" customHeight="1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</row>
    <row r="874" spans="1:23" ht="15.75" customHeight="1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</row>
    <row r="875" spans="1:23" ht="15.75" customHeight="1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</row>
    <row r="876" spans="1:23" ht="15.75" customHeight="1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</row>
    <row r="877" spans="1:23" ht="15.75" customHeight="1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</row>
    <row r="878" spans="1:23" ht="15.75" customHeight="1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</row>
    <row r="879" spans="1:23" ht="15.75" customHeight="1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</row>
    <row r="880" spans="1:23" ht="15.75" customHeight="1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</row>
    <row r="881" spans="1:23" ht="15.75" customHeight="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</row>
    <row r="882" spans="1:23" ht="15.75" customHeight="1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</row>
    <row r="883" spans="1:23" ht="15.75" customHeight="1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</row>
    <row r="884" spans="1:23" ht="15.75" customHeight="1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</row>
    <row r="885" spans="1:23" ht="15.75" customHeight="1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</row>
    <row r="886" spans="1:23" ht="15.75" customHeight="1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</row>
    <row r="887" spans="1:23" ht="15.75" customHeight="1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</row>
    <row r="888" spans="1:23" ht="15.75" customHeight="1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</row>
    <row r="889" spans="1:23" ht="15.75" customHeight="1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</row>
    <row r="890" spans="1:23" ht="15.75" customHeight="1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</row>
    <row r="891" spans="1:23" ht="15.75" customHeight="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</row>
    <row r="892" spans="1:23" ht="15.75" customHeight="1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</row>
    <row r="893" spans="1:23" ht="15.75" customHeight="1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</row>
    <row r="894" spans="1:23" ht="15.75" customHeight="1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</row>
    <row r="895" spans="1:23" ht="15.75" customHeight="1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</row>
    <row r="896" spans="1:23" ht="15.75" customHeight="1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</row>
    <row r="897" spans="1:23" ht="15.75" customHeight="1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</row>
    <row r="898" spans="1:23" ht="15.75" customHeight="1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</row>
    <row r="899" spans="1:23" ht="15.75" customHeight="1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</row>
    <row r="900" spans="1:23" ht="15.75" customHeight="1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</row>
    <row r="901" spans="1:23" ht="15.75" customHeight="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</row>
    <row r="902" spans="1:23" ht="15.75" customHeight="1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</row>
    <row r="903" spans="1:23" ht="15.75" customHeight="1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</row>
    <row r="904" spans="1:23" ht="15.75" customHeight="1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</row>
    <row r="905" spans="1:23" ht="15.75" customHeight="1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</row>
    <row r="906" spans="1:23" ht="15.75" customHeight="1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</row>
    <row r="907" spans="1:23" ht="15.75" customHeight="1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</row>
    <row r="908" spans="1:23" ht="15.75" customHeight="1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</row>
    <row r="909" spans="1:23" ht="15.75" customHeight="1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</row>
    <row r="910" spans="1:23" ht="15.75" customHeight="1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</row>
    <row r="911" spans="1:23" ht="15.75" customHeight="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</row>
    <row r="912" spans="1:23" ht="15.75" customHeight="1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</row>
    <row r="913" spans="1:23" ht="15.75" customHeight="1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</row>
    <row r="914" spans="1:23" ht="15.75" customHeight="1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</row>
    <row r="915" spans="1:23" ht="15.75" customHeight="1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</row>
    <row r="916" spans="1:23" ht="15.75" customHeight="1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</row>
    <row r="917" spans="1:23" ht="15.75" customHeight="1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</row>
    <row r="918" spans="1:23" ht="15.75" customHeight="1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</row>
    <row r="919" spans="1:23" ht="15.75" customHeight="1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</row>
    <row r="920" spans="1:23" ht="15.75" customHeight="1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</row>
    <row r="921" spans="1:23" ht="15.75" customHeight="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</row>
    <row r="922" spans="1:23" ht="15.75" customHeight="1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</row>
    <row r="923" spans="1:23" ht="15.75" customHeight="1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</row>
    <row r="924" spans="1:23" ht="15.75" customHeight="1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</row>
    <row r="925" spans="1:23" ht="15.75" customHeight="1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</row>
    <row r="926" spans="1:23" ht="15.75" customHeight="1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</row>
    <row r="927" spans="1:23" ht="15.75" customHeight="1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</row>
    <row r="928" spans="1:23" ht="15.75" customHeight="1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</row>
    <row r="929" spans="1:23" ht="15.75" customHeight="1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</row>
    <row r="930" spans="1:23" ht="15.75" customHeight="1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</row>
    <row r="931" spans="1:23" ht="15.75" customHeight="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</row>
    <row r="932" spans="1:23" ht="15.75" customHeight="1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</row>
    <row r="933" spans="1:23" ht="15.75" customHeight="1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</row>
    <row r="934" spans="1:23" ht="15.75" customHeight="1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</row>
    <row r="935" spans="1:23" ht="15.75" customHeight="1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</row>
    <row r="936" spans="1:23" ht="15.75" customHeight="1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</row>
    <row r="937" spans="1:23" ht="15.75" customHeight="1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</row>
    <row r="938" spans="1:23" ht="15.75" customHeight="1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</row>
    <row r="939" spans="1:23" ht="15.75" customHeight="1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</row>
    <row r="940" spans="1:23" ht="15.75" customHeight="1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</row>
    <row r="941" spans="1:23" ht="15.75" customHeight="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</row>
    <row r="942" spans="1:23" ht="15.75" customHeight="1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</row>
    <row r="943" spans="1:23" ht="15.75" customHeight="1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</row>
    <row r="944" spans="1:23" ht="15.75" customHeight="1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</row>
    <row r="945" spans="1:23" ht="15.75" customHeight="1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</row>
    <row r="946" spans="1:23" ht="15.75" customHeight="1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</row>
    <row r="947" spans="1:23" ht="15.75" customHeight="1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</row>
    <row r="948" spans="1:23" ht="15.75" customHeight="1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</row>
    <row r="949" spans="1:23" ht="15.75" customHeight="1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</row>
    <row r="950" spans="1:23" ht="15.75" customHeight="1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</row>
    <row r="951" spans="1:23" ht="15.75" customHeight="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</row>
    <row r="952" spans="1:23" ht="15.75" customHeight="1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</row>
    <row r="953" spans="1:23" ht="15.75" customHeight="1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</row>
    <row r="954" spans="1:23" ht="15.75" customHeight="1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</row>
    <row r="955" spans="1:23" ht="15.75" customHeight="1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</row>
    <row r="956" spans="1:23" ht="15.75" customHeight="1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</row>
    <row r="957" spans="1:23" ht="15.75" customHeight="1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</row>
    <row r="958" spans="1:23" ht="15.75" customHeight="1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</row>
    <row r="959" spans="1:23" ht="15.75" customHeight="1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</row>
    <row r="960" spans="1:23" ht="15.75" customHeight="1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</row>
    <row r="961" spans="1:23" ht="15.75" customHeight="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</row>
    <row r="962" spans="1:23" ht="15.75" customHeight="1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</row>
    <row r="963" spans="1:23" ht="15.75" customHeight="1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</row>
    <row r="964" spans="1:23" ht="15.75" customHeight="1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</row>
    <row r="965" spans="1:23" ht="15.75" customHeight="1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</row>
    <row r="966" spans="1:23" ht="15.75" customHeight="1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</row>
    <row r="967" spans="1:23" ht="15.75" customHeight="1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</row>
    <row r="968" spans="1:23" ht="15.75" customHeight="1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</row>
    <row r="969" spans="1:23" ht="15.75" customHeight="1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</row>
    <row r="970" spans="1:23" ht="15.75" customHeight="1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</row>
    <row r="971" spans="1:23" ht="15.75" customHeight="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</row>
    <row r="972" spans="1:23" ht="15.75" customHeight="1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</row>
    <row r="973" spans="1:23" ht="15.75" customHeight="1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</row>
    <row r="974" spans="1:23" ht="15.75" customHeight="1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</row>
    <row r="975" spans="1:23" ht="15.75" customHeight="1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</row>
    <row r="976" spans="1:23" ht="15.75" customHeight="1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</row>
    <row r="977" spans="1:23" ht="15.75" customHeight="1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</row>
    <row r="978" spans="1:23" ht="15.75" customHeight="1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</row>
    <row r="979" spans="1:23" ht="15.75" customHeight="1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</row>
    <row r="980" spans="1:23" ht="15.75" customHeight="1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</row>
    <row r="981" spans="1:23" ht="15.75" customHeight="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</row>
    <row r="982" spans="1:23" ht="15.75" customHeight="1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</row>
    <row r="983" spans="1:23" ht="15.75" customHeight="1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</row>
    <row r="984" spans="1:23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</row>
    <row r="985" spans="1:23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</row>
    <row r="986" spans="1:23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</row>
    <row r="987" spans="1:23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</row>
    <row r="988" spans="1:23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</row>
    <row r="989" spans="1:23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</row>
    <row r="990" spans="1:23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</row>
    <row r="991" spans="1:23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</row>
    <row r="992" spans="1:23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</row>
    <row r="993" spans="1:2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</row>
    <row r="994" spans="1:23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</row>
    <row r="995" spans="1:23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</row>
    <row r="996" spans="1:23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</row>
    <row r="997" spans="1:23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</row>
    <row r="998" spans="1:23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</row>
  </sheetData>
  <autoFilter ref="A1:W411" xr:uid="{00000000-0001-0000-0200-000000000000}"/>
  <conditionalFormatting sqref="C2:C411">
    <cfRule type="cellIs" dxfId="9" priority="19" operator="equal">
      <formula>0</formula>
    </cfRule>
  </conditionalFormatting>
  <conditionalFormatting sqref="L2:L411">
    <cfRule type="cellIs" dxfId="8" priority="6" operator="greaterThan">
      <formula>125</formula>
    </cfRule>
  </conditionalFormatting>
  <conditionalFormatting sqref="M2:M411">
    <cfRule type="cellIs" dxfId="7" priority="8" operator="equal">
      <formula>"."</formula>
    </cfRule>
    <cfRule type="containsText" dxfId="6" priority="13" stopIfTrue="1" operator="containsText" text=".">
      <formula>NOT(ISERROR(SEARCH(("."),(M2))))</formula>
    </cfRule>
    <cfRule type="cellIs" dxfId="5" priority="14" operator="equal">
      <formula>"."</formula>
    </cfRule>
    <cfRule type="cellIs" dxfId="4" priority="15" operator="equal">
      <formula>"."</formula>
    </cfRule>
  </conditionalFormatting>
  <conditionalFormatting sqref="M2:N2 M3:O411 P2:T411 W2:W411 A2:C411 E2:K411">
    <cfRule type="containsBlanks" dxfId="3" priority="18">
      <formula>LEN(TRIM(A2))=0</formula>
    </cfRule>
  </conditionalFormatting>
  <conditionalFormatting sqref="O2:O411">
    <cfRule type="cellIs" dxfId="2" priority="5" operator="equal">
      <formula>0</formula>
    </cfRule>
  </conditionalFormatting>
  <conditionalFormatting sqref="S2:T411">
    <cfRule type="cellIs" dxfId="1" priority="12" operator="equal">
      <formula>"NO ES TITULAR"</formula>
    </cfRule>
  </conditionalFormatting>
  <conditionalFormatting sqref="W2:W411">
    <cfRule type="cellIs" dxfId="0" priority="7" operator="equal">
      <formula>0</formula>
    </cfRule>
  </conditionalFormatting>
  <dataValidations count="3">
    <dataValidation type="date" allowBlank="1" showInputMessage="1" showErrorMessage="1" prompt="FECHA INCORRECTA" sqref="E2:E411" xr:uid="{00000000-0002-0000-0200-000000000000}">
      <formula1>46023</formula1>
      <formula2>46387</formula2>
    </dataValidation>
    <dataValidation type="textLength" allowBlank="1" showInputMessage="1" showErrorMessage="1" error="SOLO 4 DIGITOS" sqref="M2:M411" xr:uid="{00000000-0002-0000-0200-000001000000}">
      <formula1>1</formula1>
      <formula2>4</formula2>
    </dataValidation>
    <dataValidation type="textLength" allowBlank="1" showInputMessage="1" showErrorMessage="1" sqref="H2:H411" xr:uid="{65C9A463-4AA9-46E0-B253-3DF9E450896F}">
      <formula1>1</formula1>
      <formula2>10</formula2>
    </dataValidation>
  </dataValidations>
  <pageMargins left="0.7" right="0.7" top="0.75" bottom="0.75" header="0" footer="0"/>
  <pageSetup orientation="landscape" r:id="rId1"/>
  <ignoredErrors>
    <ignoredError sqref="P401" evalError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200-000002000000}">
          <x14:formula1>
            <xm:f>MAESTRO!$S$4:$S$5</xm:f>
          </x14:formula1>
          <xm:sqref>J2:J411</xm:sqref>
        </x14:dataValidation>
        <x14:dataValidation type="list" allowBlank="1" showErrorMessage="1" xr:uid="{43D71405-E1B9-4E31-9C59-EEA076A9C72A}">
          <x14:formula1>
            <xm:f>MAESTRO!$J$4:$J$5</xm:f>
          </x14:formula1>
          <xm:sqref>N2:N411</xm:sqref>
        </x14:dataValidation>
        <x14:dataValidation type="list" allowBlank="1" showErrorMessage="1" xr:uid="{00000000-0002-0000-0200-000008000000}">
          <x14:formula1>
            <xm:f>INSTRUCTIVO5!$S$8:$S$11</xm:f>
          </x14:formula1>
          <xm:sqref>Q2:Q411</xm:sqref>
        </x14:dataValidation>
        <x14:dataValidation type="list" allowBlank="1" showErrorMessage="1" xr:uid="{00000000-0002-0000-0200-000009000000}">
          <x14:formula1>
            <xm:f>MAESTRO!$D$4:$D$10</xm:f>
          </x14:formula1>
          <xm:sqref>B2:B411</xm:sqref>
        </x14:dataValidation>
        <x14:dataValidation type="list" allowBlank="1" showErrorMessage="1" xr:uid="{2C26D269-1893-45A2-B61B-E7F6101271F5}">
          <x14:formula1>
            <xm:f>MAESTRO!$G$4:$G$14</xm:f>
          </x14:formula1>
          <xm:sqref>F2:F411</xm:sqref>
        </x14:dataValidation>
        <x14:dataValidation type="list" allowBlank="1" showErrorMessage="1" xr:uid="{00000000-0002-0000-0200-000003000000}">
          <x14:formula1>
            <xm:f>MAESTRO!$B$4:$B$7</xm:f>
          </x14:formula1>
          <xm:sqref>A2:A411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MAESTRO</vt:lpstr>
      <vt:lpstr>INSTRUCTIVO5</vt:lpstr>
      <vt:lpstr>MES_2026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DE REDES</dc:creator>
  <cp:lastModifiedBy>estadistica 11</cp:lastModifiedBy>
  <dcterms:created xsi:type="dcterms:W3CDTF">2024-07-26T20:08:57Z</dcterms:created>
  <dcterms:modified xsi:type="dcterms:W3CDTF">2026-09-08T14:11:26Z</dcterms:modified>
</cp:coreProperties>
</file>